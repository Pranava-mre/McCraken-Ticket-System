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tanam.MRX\Downloads\OneDrive_2026-02-23\McCraken Ticket System\"/>
    </mc:Choice>
  </mc:AlternateContent>
  <xr:revisionPtr revIDLastSave="0" documentId="13_ncr:1_{7D91717D-355D-45D2-B263-23AECB6B05ED}" xr6:coauthVersionLast="47" xr6:coauthVersionMax="47" xr10:uidLastSave="{00000000-0000-0000-0000-000000000000}"/>
  <bookViews>
    <workbookView xWindow="-120" yWindow="-120" windowWidth="77040" windowHeight="21120" activeTab="1" xr2:uid="{4459D843-6BF4-46C9-84A1-FE9E63F374D6}"/>
  </bookViews>
  <sheets>
    <sheet name="Trucks" sheetId="1" r:id="rId1"/>
    <sheet name="Material" sheetId="2" r:id="rId2"/>
    <sheet name="Customers" sheetId="3" r:id="rId3"/>
  </sheets>
  <externalReferences>
    <externalReference r:id="rId4"/>
  </externalReferences>
  <definedNames>
    <definedName name="CatLU">[1]INFO!$D$75:$G$105</definedName>
    <definedName name="Material">[1]INFO!$D$75:$E$105</definedName>
    <definedName name="Query_from_Cas_McCracken" localSheetId="2" hidden="1">Customers!$A$1:$I$148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C2" i="2"/>
  <c r="C13" i="2"/>
  <c r="C30" i="2"/>
  <c r="A30" i="2"/>
  <c r="C29" i="2"/>
  <c r="A29" i="2"/>
  <c r="C28" i="2"/>
  <c r="A28" i="2"/>
  <c r="C27" i="2"/>
  <c r="A27" i="2"/>
  <c r="C26" i="2"/>
  <c r="A26" i="2"/>
  <c r="C25" i="2"/>
  <c r="A25" i="2"/>
  <c r="C24" i="2"/>
  <c r="A24" i="2"/>
  <c r="C23" i="2"/>
  <c r="A23" i="2"/>
  <c r="C22" i="2"/>
  <c r="A22" i="2"/>
  <c r="C21" i="2"/>
  <c r="A21" i="2"/>
  <c r="C20" i="2"/>
  <c r="A20" i="2"/>
  <c r="C19" i="2"/>
  <c r="A19" i="2"/>
  <c r="C18" i="2"/>
  <c r="A18" i="2"/>
  <c r="C17" i="2"/>
  <c r="A17" i="2"/>
  <c r="C16" i="2"/>
  <c r="A16" i="2"/>
  <c r="C15" i="2"/>
  <c r="A15" i="2"/>
  <c r="C14" i="2"/>
  <c r="A14" i="2"/>
  <c r="A13" i="2"/>
  <c r="C12" i="2"/>
  <c r="A12" i="2"/>
  <c r="C11" i="2"/>
  <c r="A11" i="2"/>
  <c r="C10" i="2"/>
  <c r="A10" i="2"/>
  <c r="C9" i="2"/>
  <c r="A9" i="2"/>
  <c r="C8" i="2"/>
  <c r="A8" i="2"/>
  <c r="C7" i="2"/>
  <c r="A7" i="2"/>
  <c r="C6" i="2"/>
  <c r="A6" i="2"/>
  <c r="C5" i="2"/>
  <c r="A5" i="2"/>
  <c r="C4" i="2"/>
  <c r="A4" i="2"/>
  <c r="C3" i="2"/>
  <c r="A3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Cas_McCracken" type="1" refreshedVersion="8" savePassword="1" saveData="1">
    <dbPr connection="DSN=Cas_1036_MM;Description=Cas_1036_MM(Foundation);UID=report;PWD=Reports#1;Trusted_Connection=No;APP=2007 Microsoft Office system;WSID=FRONGONE;DATABASE=Cas_1036_MM;AnsiNPW=No;" command="SELECT customers.customer_id AS 'Customer #', customers.name AS 'Customer Name', customers.address_1 AS 'Address Line 1', customers.address_2 AS 'Address Line 2', customers.city AS 'City', customers.state AS 'State', abs(zip_code) AS 'Zip Code', customers.contact AS 'Contact', ABS(phone_voice) AS 'Phone #'_x000d__x000a_FROM Cas_1036_MM.dbo.customers customers"/>
  </connection>
</connections>
</file>

<file path=xl/sharedStrings.xml><?xml version="1.0" encoding="utf-8"?>
<sst xmlns="http://schemas.openxmlformats.org/spreadsheetml/2006/main" count="1629" uniqueCount="1090">
  <si>
    <t>Truck Number</t>
  </si>
  <si>
    <t>Trucking Company</t>
  </si>
  <si>
    <t>Notes</t>
  </si>
  <si>
    <t>Size</t>
  </si>
  <si>
    <t>Phone</t>
  </si>
  <si>
    <t>License Plate</t>
  </si>
  <si>
    <t>LAWN01</t>
  </si>
  <si>
    <t>44 LAWNCARE LANDSCAPING SERVICES</t>
  </si>
  <si>
    <t>PLM7176</t>
  </si>
  <si>
    <t>ACE74</t>
  </si>
  <si>
    <t>ACE Trucking</t>
  </si>
  <si>
    <t>AL</t>
  </si>
  <si>
    <t>ACE75</t>
  </si>
  <si>
    <t>ACE76</t>
  </si>
  <si>
    <t>PLB7535</t>
  </si>
  <si>
    <t>BEP13</t>
  </si>
  <si>
    <t>BEP TRUCKING</t>
  </si>
  <si>
    <t>330-483-4252</t>
  </si>
  <si>
    <t>TRF5008</t>
  </si>
  <si>
    <t>BEP14</t>
  </si>
  <si>
    <t>BEP15</t>
  </si>
  <si>
    <t>BEP16</t>
  </si>
  <si>
    <t>BEP24</t>
  </si>
  <si>
    <t>TTM2351</t>
  </si>
  <si>
    <t>BEP28</t>
  </si>
  <si>
    <t>BEP7</t>
  </si>
  <si>
    <t>BEP8</t>
  </si>
  <si>
    <t>BUM716</t>
  </si>
  <si>
    <t>BUMBLEBEE TRUCKING</t>
  </si>
  <si>
    <t>BUM717</t>
  </si>
  <si>
    <t>PNH8626</t>
  </si>
  <si>
    <t>BUM718</t>
  </si>
  <si>
    <t>Temp tag</t>
  </si>
  <si>
    <t>CS001</t>
  </si>
  <si>
    <t>C &amp; S TRUCKING</t>
  </si>
  <si>
    <t>216-244-5175</t>
  </si>
  <si>
    <t>PLL5987</t>
  </si>
  <si>
    <t>CS002</t>
  </si>
  <si>
    <t>CS003</t>
  </si>
  <si>
    <t>PLL5989</t>
  </si>
  <si>
    <t>CS004</t>
  </si>
  <si>
    <t>PMG3514</t>
  </si>
  <si>
    <t>CS005</t>
  </si>
  <si>
    <t>James</t>
  </si>
  <si>
    <t>PMG3516</t>
  </si>
  <si>
    <t>CS006</t>
  </si>
  <si>
    <t>CS007</t>
  </si>
  <si>
    <t>PMG3515</t>
  </si>
  <si>
    <t>CS008</t>
  </si>
  <si>
    <t>Foxy</t>
  </si>
  <si>
    <t>PLL5990</t>
  </si>
  <si>
    <t>CAR1</t>
  </si>
  <si>
    <t>CARBIDE EXCAVATING</t>
  </si>
  <si>
    <t>216-407-2066</t>
  </si>
  <si>
    <t>PJQ7435</t>
  </si>
  <si>
    <t>CAR2</t>
  </si>
  <si>
    <t>PGS5603</t>
  </si>
  <si>
    <t>CAR3</t>
  </si>
  <si>
    <t>PHY8042</t>
  </si>
  <si>
    <t>C411</t>
  </si>
  <si>
    <t>CARRIES TRUCKING</t>
  </si>
  <si>
    <t>PJU8723</t>
  </si>
  <si>
    <t>C511</t>
  </si>
  <si>
    <t>C611</t>
  </si>
  <si>
    <t>PMR3576</t>
  </si>
  <si>
    <t>C711</t>
  </si>
  <si>
    <t>PLJ2079</t>
  </si>
  <si>
    <t>C2H277</t>
  </si>
  <si>
    <t>CLOSE 2 HOME</t>
  </si>
  <si>
    <t>216-338-6069</t>
  </si>
  <si>
    <t>PMU3710</t>
  </si>
  <si>
    <t>C2H278</t>
  </si>
  <si>
    <t>PMU3762</t>
  </si>
  <si>
    <t>C2H279</t>
  </si>
  <si>
    <t>PLA5640</t>
  </si>
  <si>
    <t>DC26</t>
  </si>
  <si>
    <t xml:space="preserve">D. Crawford Trucking </t>
  </si>
  <si>
    <t>440-670-1242</t>
  </si>
  <si>
    <t>PGV3237</t>
  </si>
  <si>
    <t>DC28</t>
  </si>
  <si>
    <t>PJG1286</t>
  </si>
  <si>
    <t>DC30</t>
  </si>
  <si>
    <t>PIE5590</t>
  </si>
  <si>
    <t>DC31</t>
  </si>
  <si>
    <t>PKM6357</t>
  </si>
  <si>
    <t>DC33</t>
  </si>
  <si>
    <t>PJL9955</t>
  </si>
  <si>
    <t>DC35</t>
  </si>
  <si>
    <t>PMB5489</t>
  </si>
  <si>
    <t>DC36</t>
  </si>
  <si>
    <t>DEL02</t>
  </si>
  <si>
    <t>Delano Trucking</t>
  </si>
  <si>
    <t>PLN7136</t>
  </si>
  <si>
    <t>DEL03</t>
  </si>
  <si>
    <t>PMZ9967</t>
  </si>
  <si>
    <t>DEL04</t>
  </si>
  <si>
    <t>PMZ9966</t>
  </si>
  <si>
    <t>DEL05</t>
  </si>
  <si>
    <t>DEL06</t>
  </si>
  <si>
    <t>DEL07</t>
  </si>
  <si>
    <t>DEL08</t>
  </si>
  <si>
    <t>DEV10</t>
  </si>
  <si>
    <t>DEVIL'S TRUCKING</t>
  </si>
  <si>
    <t>440-343-4059</t>
  </si>
  <si>
    <t>DEV11</t>
  </si>
  <si>
    <t>PJX3422</t>
  </si>
  <si>
    <t>DEV14</t>
  </si>
  <si>
    <t>PLR4497</t>
  </si>
  <si>
    <t>DEV2</t>
  </si>
  <si>
    <t>PLR4493</t>
  </si>
  <si>
    <t>DEV3</t>
  </si>
  <si>
    <t>DEV4</t>
  </si>
  <si>
    <t>PJX3417</t>
  </si>
  <si>
    <t>DEV5</t>
  </si>
  <si>
    <t>DEV6</t>
  </si>
  <si>
    <t>PJX3416</t>
  </si>
  <si>
    <t>DEV7</t>
  </si>
  <si>
    <t>PLR4496</t>
  </si>
  <si>
    <t>DEV8</t>
  </si>
  <si>
    <t>PLR4488</t>
  </si>
  <si>
    <t>DEV9</t>
  </si>
  <si>
    <t>PJX3421</t>
  </si>
  <si>
    <t>TK029</t>
  </si>
  <si>
    <t>Don Wartko</t>
  </si>
  <si>
    <t>VAC Truck</t>
  </si>
  <si>
    <t>330-673-5252</t>
  </si>
  <si>
    <t>PND2021</t>
  </si>
  <si>
    <t>TK033</t>
  </si>
  <si>
    <t>PNQ8566</t>
  </si>
  <si>
    <t>TK041</t>
  </si>
  <si>
    <t>PND2019</t>
  </si>
  <si>
    <t>TK043</t>
  </si>
  <si>
    <t>TK046</t>
  </si>
  <si>
    <t>PHD2020</t>
  </si>
  <si>
    <t>TK052</t>
  </si>
  <si>
    <t>TK057</t>
  </si>
  <si>
    <t>TK064</t>
  </si>
  <si>
    <t>TK083</t>
  </si>
  <si>
    <t>PND9541</t>
  </si>
  <si>
    <t>TK084</t>
  </si>
  <si>
    <t>PNF2045</t>
  </si>
  <si>
    <t>TK085</t>
  </si>
  <si>
    <t>PNG8839</t>
  </si>
  <si>
    <t>TK086</t>
  </si>
  <si>
    <t>TK094</t>
  </si>
  <si>
    <t>PNX9954</t>
  </si>
  <si>
    <t>TK095</t>
  </si>
  <si>
    <t>POB1453</t>
  </si>
  <si>
    <t>DUHYD</t>
  </si>
  <si>
    <t>DU ALL SERVICES LLC</t>
  </si>
  <si>
    <t>PNA4840</t>
  </si>
  <si>
    <t>EFH001</t>
  </si>
  <si>
    <t>EFH EXTREME FREIGHT HAULING</t>
  </si>
  <si>
    <t>Black Truck</t>
  </si>
  <si>
    <t>PMR5899</t>
  </si>
  <si>
    <t>EFH009</t>
  </si>
  <si>
    <t>Blue Truck</t>
  </si>
  <si>
    <t>PMQ4314</t>
  </si>
  <si>
    <t>FP12</t>
  </si>
  <si>
    <t>FAST PACE TRUCKING</t>
  </si>
  <si>
    <t>White Cab -No #</t>
  </si>
  <si>
    <t>216-855-3305</t>
  </si>
  <si>
    <t>PNR2536</t>
  </si>
  <si>
    <t>FP27</t>
  </si>
  <si>
    <t>PNP3637</t>
  </si>
  <si>
    <t>IT004</t>
  </si>
  <si>
    <t>IRIE TRUCKING</t>
  </si>
  <si>
    <t>IT005</t>
  </si>
  <si>
    <t>PLX3241</t>
  </si>
  <si>
    <t>IT006</t>
  </si>
  <si>
    <t>PMN2810</t>
  </si>
  <si>
    <t>IT007</t>
  </si>
  <si>
    <t>PYJ3492</t>
  </si>
  <si>
    <t>IT008</t>
  </si>
  <si>
    <t>PKE2187</t>
  </si>
  <si>
    <t>IT009</t>
  </si>
  <si>
    <t>JRE315</t>
  </si>
  <si>
    <t>J ROSS EXPRESS</t>
  </si>
  <si>
    <t>JRE316</t>
  </si>
  <si>
    <t>JRE317</t>
  </si>
  <si>
    <t>JDH04</t>
  </si>
  <si>
    <t>JDH MANAGEMENT LLC</t>
  </si>
  <si>
    <t>PND8062</t>
  </si>
  <si>
    <t>JDH05</t>
  </si>
  <si>
    <t>Temp Tag</t>
  </si>
  <si>
    <t>KBRJ343</t>
  </si>
  <si>
    <t>KBRJ LOGISTICS LLC</t>
  </si>
  <si>
    <t>KBRJ345</t>
  </si>
  <si>
    <t>KBRJ346</t>
  </si>
  <si>
    <t>PMR5134</t>
  </si>
  <si>
    <t>KBRJ347</t>
  </si>
  <si>
    <t>PLY2805</t>
  </si>
  <si>
    <t>KBRJ348</t>
  </si>
  <si>
    <t>PLD4450</t>
  </si>
  <si>
    <t>KBRJ349</t>
  </si>
  <si>
    <t>KBRJ751</t>
  </si>
  <si>
    <t>PNH6162</t>
  </si>
  <si>
    <t>MM1829</t>
  </si>
  <si>
    <t>M&amp;M Trucking</t>
  </si>
  <si>
    <t>216-389-3671</t>
  </si>
  <si>
    <t>TQH9153</t>
  </si>
  <si>
    <t>MAK22</t>
  </si>
  <si>
    <t>Makupson Logistics</t>
  </si>
  <si>
    <t>MAK23</t>
  </si>
  <si>
    <t>MAL07</t>
  </si>
  <si>
    <t xml:space="preserve">Malone Trucking </t>
  </si>
  <si>
    <t>PKK8454</t>
  </si>
  <si>
    <t>MARRA5</t>
  </si>
  <si>
    <t>MARRA SERVICES</t>
  </si>
  <si>
    <t>PKZ6861</t>
  </si>
  <si>
    <t>MARRA6</t>
  </si>
  <si>
    <t>PKT8800</t>
  </si>
  <si>
    <t>MCD246</t>
  </si>
  <si>
    <t>McDermott</t>
  </si>
  <si>
    <t>330-659-0685</t>
  </si>
  <si>
    <t>PGT3837</t>
  </si>
  <si>
    <t>MCD248</t>
  </si>
  <si>
    <t>MCD249</t>
  </si>
  <si>
    <t>MCD250</t>
  </si>
  <si>
    <t>PKC9875</t>
  </si>
  <si>
    <t>MCD251</t>
  </si>
  <si>
    <t>Red Truck</t>
  </si>
  <si>
    <t>PMQ3051</t>
  </si>
  <si>
    <t>MCK566</t>
  </si>
  <si>
    <t>McKinley</t>
  </si>
  <si>
    <t>Tyron</t>
  </si>
  <si>
    <t>PHP5226</t>
  </si>
  <si>
    <t>MID900</t>
  </si>
  <si>
    <t>Middleton Mechanical</t>
  </si>
  <si>
    <t>PLD1330</t>
  </si>
  <si>
    <t>MID901</t>
  </si>
  <si>
    <t>No # on Truck</t>
  </si>
  <si>
    <t>PLD1325</t>
  </si>
  <si>
    <t>MID902</t>
  </si>
  <si>
    <t>PLD1331</t>
  </si>
  <si>
    <t>MID904</t>
  </si>
  <si>
    <t>PLD1329</t>
  </si>
  <si>
    <t>MID906</t>
  </si>
  <si>
    <t>PLY5219</t>
  </si>
  <si>
    <t>MID909</t>
  </si>
  <si>
    <t>PLJ4423</t>
  </si>
  <si>
    <t>MID910</t>
  </si>
  <si>
    <t>PNJ2062</t>
  </si>
  <si>
    <t>ML114</t>
  </si>
  <si>
    <t>ML FREIGHT</t>
  </si>
  <si>
    <t>ML44</t>
  </si>
  <si>
    <t>PLQ6145</t>
  </si>
  <si>
    <t>ML89</t>
  </si>
  <si>
    <t>PLY5202</t>
  </si>
  <si>
    <t>ME7048</t>
  </si>
  <si>
    <t>Mr. Excavator</t>
  </si>
  <si>
    <t>440-256-2008</t>
  </si>
  <si>
    <t>ME7061</t>
  </si>
  <si>
    <t>ME7109</t>
  </si>
  <si>
    <t>ME7111</t>
  </si>
  <si>
    <t>ME7120</t>
  </si>
  <si>
    <t>ME7122</t>
  </si>
  <si>
    <t>PJW5322</t>
  </si>
  <si>
    <t>ME7190</t>
  </si>
  <si>
    <t>ME7207</t>
  </si>
  <si>
    <t>Tommy</t>
  </si>
  <si>
    <t>TTM9509</t>
  </si>
  <si>
    <t>MEHYD</t>
  </si>
  <si>
    <t>PXE1781</t>
  </si>
  <si>
    <t>MTC100</t>
  </si>
  <si>
    <t>MTC Trucking</t>
  </si>
  <si>
    <t>PIM5657</t>
  </si>
  <si>
    <t>MTC101</t>
  </si>
  <si>
    <t>PJG1354</t>
  </si>
  <si>
    <t>MTC600</t>
  </si>
  <si>
    <t>MTC601</t>
  </si>
  <si>
    <t>PIW9852</t>
  </si>
  <si>
    <t>MTC602</t>
  </si>
  <si>
    <t>PJG1363</t>
  </si>
  <si>
    <t>MTC603</t>
  </si>
  <si>
    <t>PLL7329</t>
  </si>
  <si>
    <t>MTC604</t>
  </si>
  <si>
    <t>Denise</t>
  </si>
  <si>
    <t>PJX3660</t>
  </si>
  <si>
    <t>MTC605</t>
  </si>
  <si>
    <t>PJS4803</t>
  </si>
  <si>
    <t>MTC606</t>
  </si>
  <si>
    <t>MTC607</t>
  </si>
  <si>
    <t>PLN7462</t>
  </si>
  <si>
    <t>NEW101</t>
  </si>
  <si>
    <t>New Vista</t>
  </si>
  <si>
    <t>PKE7878</t>
  </si>
  <si>
    <t>NEW103</t>
  </si>
  <si>
    <t>PJM8620</t>
  </si>
  <si>
    <t>NEW104</t>
  </si>
  <si>
    <t>PNK6411</t>
  </si>
  <si>
    <t>NEW110</t>
  </si>
  <si>
    <t>NEW115</t>
  </si>
  <si>
    <t>PKK8988</t>
  </si>
  <si>
    <t>NEW134</t>
  </si>
  <si>
    <t>NEW135</t>
  </si>
  <si>
    <t>PNJ9008</t>
  </si>
  <si>
    <t>NC1</t>
  </si>
  <si>
    <t>North Coast Concrete</t>
  </si>
  <si>
    <t>216-642-1114</t>
  </si>
  <si>
    <t>PNG6454</t>
  </si>
  <si>
    <t>NC2</t>
  </si>
  <si>
    <t>PLB7519</t>
  </si>
  <si>
    <t>NC3</t>
  </si>
  <si>
    <t>Red/White Truck</t>
  </si>
  <si>
    <t>PGC3850</t>
  </si>
  <si>
    <t>OMC1</t>
  </si>
  <si>
    <t>O.M. CONSTRUCTION</t>
  </si>
  <si>
    <t>Marvin Miller</t>
  </si>
  <si>
    <t>330-720-3974</t>
  </si>
  <si>
    <t>OCPP922</t>
  </si>
  <si>
    <t>Ohio Custom Pool &amp; Patio</t>
  </si>
  <si>
    <t>PMJ8745</t>
  </si>
  <si>
    <t>OCPP923</t>
  </si>
  <si>
    <t>PMR3141</t>
  </si>
  <si>
    <t>OCPP924</t>
  </si>
  <si>
    <t>PLL5493</t>
  </si>
  <si>
    <t>PRATT801</t>
  </si>
  <si>
    <t>Pratt Trucking</t>
  </si>
  <si>
    <t>216-633-1766</t>
  </si>
  <si>
    <t>PRATT802</t>
  </si>
  <si>
    <t>PKH3136</t>
  </si>
  <si>
    <t>PRATT803</t>
  </si>
  <si>
    <t>PRATT804</t>
  </si>
  <si>
    <t>PRATT805</t>
  </si>
  <si>
    <t>PRATT806</t>
  </si>
  <si>
    <t>PRATT807</t>
  </si>
  <si>
    <t>M465085 (Temp)</t>
  </si>
  <si>
    <t>PRATT808</t>
  </si>
  <si>
    <t>PLO6134</t>
  </si>
  <si>
    <t>PRATT809</t>
  </si>
  <si>
    <t>PRATT810</t>
  </si>
  <si>
    <t>RHT247</t>
  </si>
  <si>
    <t>RH 24 7 TRUCKING</t>
  </si>
  <si>
    <t>PNT2020</t>
  </si>
  <si>
    <t>RL09</t>
  </si>
  <si>
    <t>RL COLE</t>
  </si>
  <si>
    <t>216-707-9550</t>
  </si>
  <si>
    <t>RL10</t>
  </si>
  <si>
    <t>PJV7569</t>
  </si>
  <si>
    <t>RL12</t>
  </si>
  <si>
    <t>SALT16</t>
  </si>
  <si>
    <t>SALT WORLD</t>
  </si>
  <si>
    <t>MIKE</t>
  </si>
  <si>
    <t>SRD566</t>
  </si>
  <si>
    <t>SRD SCRAP</t>
  </si>
  <si>
    <t>TD676</t>
  </si>
  <si>
    <t>TransDyne Logistics</t>
  </si>
  <si>
    <t>TD677</t>
  </si>
  <si>
    <t>PNZ9583</t>
  </si>
  <si>
    <t>TRAX30</t>
  </si>
  <si>
    <t>Trax Construction</t>
  </si>
  <si>
    <t>440-585-1439</t>
  </si>
  <si>
    <t>PND8907</t>
  </si>
  <si>
    <t>TRAX31</t>
  </si>
  <si>
    <t>PND8908</t>
  </si>
  <si>
    <t>TRAX33</t>
  </si>
  <si>
    <t>PJK4274</t>
  </si>
  <si>
    <t>TRAX37</t>
  </si>
  <si>
    <t>TRAX38</t>
  </si>
  <si>
    <t>PKD2351</t>
  </si>
  <si>
    <t>TRAX45</t>
  </si>
  <si>
    <t>UT29</t>
  </si>
  <si>
    <t>UTILITIES CONSTRUCTION</t>
  </si>
  <si>
    <t>PIX7883</t>
  </si>
  <si>
    <t>UT33</t>
  </si>
  <si>
    <t>PLU4051</t>
  </si>
  <si>
    <t>UT39</t>
  </si>
  <si>
    <t>PJS3249</t>
  </si>
  <si>
    <t>UT40</t>
  </si>
  <si>
    <t>PKE8129</t>
  </si>
  <si>
    <t>UT41</t>
  </si>
  <si>
    <t>PKT8163</t>
  </si>
  <si>
    <t>UT49</t>
  </si>
  <si>
    <t>PHX3944</t>
  </si>
  <si>
    <t>UT50</t>
  </si>
  <si>
    <t>PLK4598</t>
  </si>
  <si>
    <t>UT57</t>
  </si>
  <si>
    <t>PHX3946</t>
  </si>
  <si>
    <t>VEN105</t>
  </si>
  <si>
    <t>Ventrone Excavating</t>
  </si>
  <si>
    <t>PMD1486</t>
  </si>
  <si>
    <t>Cat</t>
  </si>
  <si>
    <t>Code</t>
  </si>
  <si>
    <t>Material</t>
  </si>
  <si>
    <t>Rev# 11
1 Axle</t>
  </si>
  <si>
    <t>Rev# 11
Tandem</t>
  </si>
  <si>
    <t>Rev# 11
TriAxle</t>
  </si>
  <si>
    <t>Rev# 11
4/5 Axle</t>
  </si>
  <si>
    <t>Rev# 11
6 Axle</t>
  </si>
  <si>
    <t>Rev# 11
Semi</t>
  </si>
  <si>
    <t>Rev# 11
HydVac</t>
  </si>
  <si>
    <t>Rev# 11
DIRT IN</t>
  </si>
  <si>
    <t>Asph</t>
  </si>
  <si>
    <t>NA</t>
  </si>
  <si>
    <t>Bric</t>
  </si>
  <si>
    <t>Conc</t>
  </si>
  <si>
    <t>Ctop</t>
  </si>
  <si>
    <t>Deck</t>
  </si>
  <si>
    <t>Dirt</t>
  </si>
  <si>
    <t>Grin</t>
  </si>
  <si>
    <t>Rtop</t>
  </si>
  <si>
    <t>Sand</t>
  </si>
  <si>
    <t>Rubb</t>
  </si>
  <si>
    <t>Slop</t>
  </si>
  <si>
    <t>OCHF</t>
  </si>
  <si>
    <t>Comp</t>
  </si>
  <si>
    <t>Cert</t>
  </si>
  <si>
    <t>OBSAND</t>
  </si>
  <si>
    <t>OSSAND</t>
  </si>
  <si>
    <t>Odirt</t>
  </si>
  <si>
    <t>Ogrin</t>
  </si>
  <si>
    <t>Otop</t>
  </si>
  <si>
    <t>Ostop</t>
  </si>
  <si>
    <t>YdWst</t>
  </si>
  <si>
    <t>Stump</t>
  </si>
  <si>
    <t>RCC304</t>
  </si>
  <si>
    <t>RCC12</t>
  </si>
  <si>
    <t>RCC57</t>
  </si>
  <si>
    <t>Snow</t>
  </si>
  <si>
    <t>WetO</t>
  </si>
  <si>
    <t>Wet Dirt w/ Organics</t>
  </si>
  <si>
    <t>Customer #</t>
  </si>
  <si>
    <t>Customer Name</t>
  </si>
  <si>
    <t>Address Line 1</t>
  </si>
  <si>
    <t>Address Line 2</t>
  </si>
  <si>
    <t>City</t>
  </si>
  <si>
    <t>State</t>
  </si>
  <si>
    <t>Zip Code</t>
  </si>
  <si>
    <t>Contact</t>
  </si>
  <si>
    <t>Phone #</t>
  </si>
  <si>
    <t>104</t>
  </si>
  <si>
    <t>P.O. Box 26596</t>
  </si>
  <si>
    <t>Akron</t>
  </si>
  <si>
    <t>OH</t>
  </si>
  <si>
    <t>105</t>
  </si>
  <si>
    <t>1127 Construction</t>
  </si>
  <si>
    <t>1288 Starlight Dr</t>
  </si>
  <si>
    <t>1127CON</t>
  </si>
  <si>
    <t>1288 Starlight Drive</t>
  </si>
  <si>
    <t>DBA Miller Pipeline, LLC</t>
  </si>
  <si>
    <t>21CENT</t>
  </si>
  <si>
    <t>21st Century Concrete</t>
  </si>
  <si>
    <t>13925 Enterprise Avenue</t>
  </si>
  <si>
    <t>Cleveland</t>
  </si>
  <si>
    <t>AAA</t>
  </si>
  <si>
    <t>AAA Damage Control</t>
  </si>
  <si>
    <t>5730 St Rt 193</t>
  </si>
  <si>
    <t>Kingsville</t>
  </si>
  <si>
    <t>Eric</t>
  </si>
  <si>
    <t>NO Longer has an acct. CANNOT DUMP HERE</t>
  </si>
  <si>
    <t>ABRAMO</t>
  </si>
  <si>
    <t>Abramo Construction, Inc.</t>
  </si>
  <si>
    <t>5131 Wiltshire Road</t>
  </si>
  <si>
    <t>North Royalton</t>
  </si>
  <si>
    <t>AJ</t>
  </si>
  <si>
    <t>A&amp;J Cement Contractors, Inc</t>
  </si>
  <si>
    <t>27900 Lakeland Blvd.</t>
  </si>
  <si>
    <t>Euclid</t>
  </si>
  <si>
    <t>Carl Calabrese</t>
  </si>
  <si>
    <t>ajcement@sbcglobal.net</t>
  </si>
  <si>
    <t>AKRON</t>
  </si>
  <si>
    <t>Akron Building &amp; Outdoor Maint</t>
  </si>
  <si>
    <t>dba RiverReach Construction</t>
  </si>
  <si>
    <t>92 31st Street NW</t>
  </si>
  <si>
    <t>Barberton</t>
  </si>
  <si>
    <t>Patrick Rohr</t>
  </si>
  <si>
    <t>ANG</t>
  </si>
  <si>
    <t>Angelotta Landscape Associates</t>
  </si>
  <si>
    <t>PO Box 531</t>
  </si>
  <si>
    <t>Chesterland</t>
  </si>
  <si>
    <t>Matt Angelotta</t>
  </si>
  <si>
    <t>mattangelotta@outlook.com Kaitlyn 440-679-1436</t>
  </si>
  <si>
    <t>ARKK</t>
  </si>
  <si>
    <t>ARKK Holdings</t>
  </si>
  <si>
    <t>ARMS</t>
  </si>
  <si>
    <t>Arms Trucking</t>
  </si>
  <si>
    <t>14818 Mayfield Road</t>
  </si>
  <si>
    <t>East Claridon</t>
  </si>
  <si>
    <t>AP - Sherry</t>
  </si>
  <si>
    <t>BAUMAN</t>
  </si>
  <si>
    <t>Baumann Enterprises, Inc.</t>
  </si>
  <si>
    <t>4801 Chaincraft Road</t>
  </si>
  <si>
    <t>Garfield Heights</t>
  </si>
  <si>
    <t>Billy Baumann</t>
  </si>
  <si>
    <t>accounting@bbwreck.com</t>
  </si>
  <si>
    <t>BBW</t>
  </si>
  <si>
    <t>B&amp;B Wrecking &amp; Excavating, Inc.</t>
  </si>
  <si>
    <t>4510 E. 71st St.</t>
  </si>
  <si>
    <t>Suite 6</t>
  </si>
  <si>
    <t>Bradley Baumann</t>
  </si>
  <si>
    <t>(216) 429-1700</t>
  </si>
  <si>
    <t>BEAVER</t>
  </si>
  <si>
    <t>Beaver Excavating</t>
  </si>
  <si>
    <t>BENJONES</t>
  </si>
  <si>
    <t>Ben Jones Concrete</t>
  </si>
  <si>
    <t>793 Beechwood Drive</t>
  </si>
  <si>
    <t>Tallmadge</t>
  </si>
  <si>
    <t>Ben Jones</t>
  </si>
  <si>
    <t>BIGTRUCK</t>
  </si>
  <si>
    <t>Big Truck Rehab</t>
  </si>
  <si>
    <t>14855 Broadway Ave #300</t>
  </si>
  <si>
    <t>Maple Heights</t>
  </si>
  <si>
    <t>BISIRRI</t>
  </si>
  <si>
    <t>Bisirri Incorporated</t>
  </si>
  <si>
    <t>PO Box 118</t>
  </si>
  <si>
    <t>Randolph</t>
  </si>
  <si>
    <t>Ryan Bisirri</t>
  </si>
  <si>
    <t>(330) 235-9643</t>
  </si>
  <si>
    <t>bisirriinc1@gmail.com</t>
  </si>
  <si>
    <t>BJONES</t>
  </si>
  <si>
    <t>Ben Jones Concrete Constr.</t>
  </si>
  <si>
    <t>670 Eastwood Avenue</t>
  </si>
  <si>
    <t>BLACK</t>
  </si>
  <si>
    <t>Black Horse Bridge Construction</t>
  </si>
  <si>
    <t>5185 Wooster Rd. West</t>
  </si>
  <si>
    <t>Norton</t>
  </si>
  <si>
    <t>Amy Fitch</t>
  </si>
  <si>
    <t>(234)678-8731</t>
  </si>
  <si>
    <t>afitch@blackhorsebridge.com</t>
  </si>
  <si>
    <t>BRECKSVILL</t>
  </si>
  <si>
    <t>City of Brecksville</t>
  </si>
  <si>
    <t>9069 Brescksville Rd</t>
  </si>
  <si>
    <t>Brecksville</t>
  </si>
  <si>
    <t>Jaimie Still</t>
  </si>
  <si>
    <t>BREMEC</t>
  </si>
  <si>
    <t>The Bremec Group</t>
  </si>
  <si>
    <t>12265 Chillicothe</t>
  </si>
  <si>
    <t>clasko@bremec.com</t>
  </si>
  <si>
    <t>BROOK</t>
  </si>
  <si>
    <t>Brookside Landscaping</t>
  </si>
  <si>
    <t xml:space="preserve">6050 Stone Rd. </t>
  </si>
  <si>
    <t>Suite A</t>
  </si>
  <si>
    <t>Medina</t>
  </si>
  <si>
    <t>330-576-5576</t>
  </si>
  <si>
    <t>jessica@brooksidelandscapeconstruction.com</t>
  </si>
  <si>
    <t>BUCKEYE</t>
  </si>
  <si>
    <t>Buckeye Excavating</t>
  </si>
  <si>
    <t>12417 Frost Rd.</t>
  </si>
  <si>
    <t>Mantua</t>
  </si>
  <si>
    <t>Jane Wegner</t>
  </si>
  <si>
    <t>216-469-3427</t>
  </si>
  <si>
    <t>BURTSCOT</t>
  </si>
  <si>
    <t>Burton Scot Contractors</t>
  </si>
  <si>
    <t>11330 Kinsman Road</t>
  </si>
  <si>
    <t>Newbury</t>
  </si>
  <si>
    <t>Debbie</t>
  </si>
  <si>
    <t>CARBIDE</t>
  </si>
  <si>
    <t>Carbide Excavating, Inc.</t>
  </si>
  <si>
    <t>2945 Boston Mills Road</t>
  </si>
  <si>
    <t>Alyssa</t>
  </si>
  <si>
    <t>joekane.carbide@gmail.com</t>
  </si>
  <si>
    <t>CASH</t>
  </si>
  <si>
    <t>Cash Sales</t>
  </si>
  <si>
    <t>Enter Customer Name for Job</t>
  </si>
  <si>
    <t>CATTS</t>
  </si>
  <si>
    <t>CATTS Construction, Inc.</t>
  </si>
  <si>
    <t>21223 Aurora Road</t>
  </si>
  <si>
    <t>Warrensville Heights</t>
  </si>
  <si>
    <t>CCM</t>
  </si>
  <si>
    <t>Cleveland CraftsMen</t>
  </si>
  <si>
    <t>254 South Point Drive</t>
  </si>
  <si>
    <t>Avon Lake</t>
  </si>
  <si>
    <t>Steve Gale</t>
  </si>
  <si>
    <t>Clevelandcraftsmen@yahoo.com</t>
  </si>
  <si>
    <t>CHECK</t>
  </si>
  <si>
    <t>PAID WITH CHECK</t>
  </si>
  <si>
    <t>CHEROKEE</t>
  </si>
  <si>
    <t>Cherokee Demolition</t>
  </si>
  <si>
    <t>16020 Messenger Road</t>
  </si>
  <si>
    <t>Burton</t>
  </si>
  <si>
    <t>CLECRA</t>
  </si>
  <si>
    <t>Cleveland Craftsman Const</t>
  </si>
  <si>
    <t>256 S Point Dr</t>
  </si>
  <si>
    <t>CLEMET</t>
  </si>
  <si>
    <t>Cleveland Metro Parks</t>
  </si>
  <si>
    <t>COAQUA</t>
  </si>
  <si>
    <t>Coastal Quality Contr</t>
  </si>
  <si>
    <t>COMPLETE</t>
  </si>
  <si>
    <t>Complete Reclamation Services</t>
  </si>
  <si>
    <t xml:space="preserve">7735 Granger Rd Ste D </t>
  </si>
  <si>
    <t>Valley View</t>
  </si>
  <si>
    <t>Ryan Cronin</t>
  </si>
  <si>
    <t>rcronin@comrecservices.com</t>
  </si>
  <si>
    <t>CONMAN</t>
  </si>
  <si>
    <t>Construction Management Group,</t>
  </si>
  <si>
    <t>8618 Chardon Rd</t>
  </si>
  <si>
    <t>Unit B</t>
  </si>
  <si>
    <t>Kirtland</t>
  </si>
  <si>
    <t>CONTECO</t>
  </si>
  <si>
    <t>Conteco Trucking</t>
  </si>
  <si>
    <t>31200 Gates MIlls</t>
  </si>
  <si>
    <t>Pepper Pike</t>
  </si>
  <si>
    <t>COOK</t>
  </si>
  <si>
    <t>Cook Paving &amp; Construction Co.</t>
  </si>
  <si>
    <t>4545 Spring Road</t>
  </si>
  <si>
    <t>Brooklyn Heights</t>
  </si>
  <si>
    <t>ap@cookpaving.com</t>
  </si>
  <si>
    <t>COULT</t>
  </si>
  <si>
    <t>Coulter Waterproofing &amp; Cement</t>
  </si>
  <si>
    <t>26265 Hilliard Boulevard</t>
  </si>
  <si>
    <t>Westlake</t>
  </si>
  <si>
    <t>COWBOY</t>
  </si>
  <si>
    <t>Cowboy Earthworks, LLC</t>
  </si>
  <si>
    <t xml:space="preserve">8432 Music St. </t>
  </si>
  <si>
    <t>Chagrin Falls</t>
  </si>
  <si>
    <t>(440)226-0146</t>
  </si>
  <si>
    <t>cowboyearthwors@gmail.com</t>
  </si>
  <si>
    <t>CREDIT</t>
  </si>
  <si>
    <t>Credit Card Sales</t>
  </si>
  <si>
    <t>Garfield Hts.</t>
  </si>
  <si>
    <t>CUI</t>
  </si>
  <si>
    <t>Chores Unlimited Inc.</t>
  </si>
  <si>
    <t>4889 NEO Parkway</t>
  </si>
  <si>
    <t>CUNHAM</t>
  </si>
  <si>
    <t>Cunningham Paving Company</t>
  </si>
  <si>
    <t>20814 Aurora Road</t>
  </si>
  <si>
    <t>AP - Angie</t>
  </si>
  <si>
    <t>CUYATRK</t>
  </si>
  <si>
    <t>Cuyahoga Valley Trucking Co.</t>
  </si>
  <si>
    <t>3101 Akins Road</t>
  </si>
  <si>
    <t>kbscvt@aol.com</t>
  </si>
  <si>
    <t>DAE</t>
  </si>
  <si>
    <t>Dennis Alber Excavating Inc.</t>
  </si>
  <si>
    <t>1904 Remsen Rd.</t>
  </si>
  <si>
    <t>judi@dennisalberexcavating.com</t>
  </si>
  <si>
    <t>DALAD</t>
  </si>
  <si>
    <t>Dalad Group</t>
  </si>
  <si>
    <t>The Gold Building</t>
  </si>
  <si>
    <t>6055 Rockside Woods Blvd. #100</t>
  </si>
  <si>
    <t>Independence</t>
  </si>
  <si>
    <t>DAVIS</t>
  </si>
  <si>
    <t>Davis Diggers</t>
  </si>
  <si>
    <t xml:space="preserve"> 7985 King Memorial Rd</t>
  </si>
  <si>
    <t>Mentor</t>
  </si>
  <si>
    <t>440-205-5500</t>
  </si>
  <si>
    <t>office@davisdiggers.com</t>
  </si>
  <si>
    <t>DEVIL</t>
  </si>
  <si>
    <t>Devil's Trucking</t>
  </si>
  <si>
    <t>13160 Chillicothe Rd</t>
  </si>
  <si>
    <t>DU</t>
  </si>
  <si>
    <t>Du-All Services</t>
  </si>
  <si>
    <t>1185 Benton Rd.</t>
  </si>
  <si>
    <t>Salem</t>
  </si>
  <si>
    <t>Candy</t>
  </si>
  <si>
    <t>(330)550-9985</t>
  </si>
  <si>
    <t>du.alloilfield@gmail.com</t>
  </si>
  <si>
    <t>DWART</t>
  </si>
  <si>
    <t>Don Wartko Construction</t>
  </si>
  <si>
    <t>975 Tallmadge Rd</t>
  </si>
  <si>
    <t>Kent</t>
  </si>
  <si>
    <t>Jeannine Jones</t>
  </si>
  <si>
    <t>invoices@wartkoconstruction.com</t>
  </si>
  <si>
    <t>EAGLE</t>
  </si>
  <si>
    <t>Eagle Abatement</t>
  </si>
  <si>
    <t>13675 McCracken Rd.</t>
  </si>
  <si>
    <t>EBKATZ</t>
  </si>
  <si>
    <t>E.B. Katz Co.</t>
  </si>
  <si>
    <t>930 East 70th Street</t>
  </si>
  <si>
    <t>EMPIRE</t>
  </si>
  <si>
    <t>Empire Paving, LLC</t>
  </si>
  <si>
    <t>4620 Johnston Parkway</t>
  </si>
  <si>
    <t>ap@empirepaving.biz</t>
  </si>
  <si>
    <t>ER</t>
  </si>
  <si>
    <t>ER Utility Construction</t>
  </si>
  <si>
    <t>514 Water St. Suite 104</t>
  </si>
  <si>
    <t>Chardon</t>
  </si>
  <si>
    <t>AP - Bella</t>
  </si>
  <si>
    <t>erutility@yahoo.com</t>
  </si>
  <si>
    <t>FBUDDIE</t>
  </si>
  <si>
    <t>F. Buddie Contracting, Ltd.</t>
  </si>
  <si>
    <t>12120 Sobieski Avenue</t>
  </si>
  <si>
    <t>GARFHTS</t>
  </si>
  <si>
    <t>Garfield Heights Service Garag</t>
  </si>
  <si>
    <t>13600 McCracken Road</t>
  </si>
  <si>
    <t>GRACO</t>
  </si>
  <si>
    <t>Graco Concrete</t>
  </si>
  <si>
    <t>6320 Promway Avenue NW</t>
  </si>
  <si>
    <t>North Canton</t>
  </si>
  <si>
    <t>GUARDIAN</t>
  </si>
  <si>
    <t>Guardian Title</t>
  </si>
  <si>
    <t>H&amp;M</t>
  </si>
  <si>
    <t>H &amp; M Landscaping</t>
  </si>
  <si>
    <t>10389 Kinsman Road</t>
  </si>
  <si>
    <t>Post Office Box 69</t>
  </si>
  <si>
    <t>HAAS</t>
  </si>
  <si>
    <t>Haas Brothers</t>
  </si>
  <si>
    <t>5470 State Rt 5</t>
  </si>
  <si>
    <t>Ravenna</t>
  </si>
  <si>
    <t>HAMILTON</t>
  </si>
  <si>
    <t>Hamilton Excavating &amp; Trucking</t>
  </si>
  <si>
    <t>9310 Mercantile Drive</t>
  </si>
  <si>
    <t>HANNA</t>
  </si>
  <si>
    <t>Colleen G. Hanna</t>
  </si>
  <si>
    <t>HIGHLAND</t>
  </si>
  <si>
    <t>Highland Construction</t>
  </si>
  <si>
    <t>17535 South Miles Road</t>
  </si>
  <si>
    <t>HOLLAND</t>
  </si>
  <si>
    <t>Holland Paving &amp; Sealcoating</t>
  </si>
  <si>
    <t>4538 West 130th Street</t>
  </si>
  <si>
    <t>Bridget@hollandpaving.com</t>
  </si>
  <si>
    <t>INDCEM</t>
  </si>
  <si>
    <t>Independence Cement</t>
  </si>
  <si>
    <t>9240 Noble Park Dr</t>
  </si>
  <si>
    <t>Cell 216-264-1212</t>
  </si>
  <si>
    <t>domenic@independencecement.com</t>
  </si>
  <si>
    <t>INF</t>
  </si>
  <si>
    <t>Infinity Paving</t>
  </si>
  <si>
    <t>50 E Highland Rd</t>
  </si>
  <si>
    <t>Northfield</t>
  </si>
  <si>
    <t>(440)946-6960</t>
  </si>
  <si>
    <t>rebecca@infinitypaving.com</t>
  </si>
  <si>
    <t>INTERCO</t>
  </si>
  <si>
    <t>International Contracting, LLC</t>
  </si>
  <si>
    <t>23 Lisbon St. Suite A</t>
  </si>
  <si>
    <t>Canfield</t>
  </si>
  <si>
    <t>JDWILL</t>
  </si>
  <si>
    <t>JD Williamson Construction Co.</t>
  </si>
  <si>
    <t>Post Office Box 113</t>
  </si>
  <si>
    <t>KARVO</t>
  </si>
  <si>
    <t>Karvo Companies, Inc.</t>
  </si>
  <si>
    <t>4524 Hudson Dr.</t>
  </si>
  <si>
    <t>Stow</t>
  </si>
  <si>
    <t>Don Wortkoetter</t>
  </si>
  <si>
    <t>(330) 929-9616</t>
  </si>
  <si>
    <t>karvo@karvocompanies.com</t>
  </si>
  <si>
    <t>KECK</t>
  </si>
  <si>
    <t>Susan T. Keck</t>
  </si>
  <si>
    <t>KENT</t>
  </si>
  <si>
    <t xml:space="preserve">Kent's Excavating </t>
  </si>
  <si>
    <t>260 Ryan Road</t>
  </si>
  <si>
    <t>Seville</t>
  </si>
  <si>
    <t>KINGEX</t>
  </si>
  <si>
    <t>King Excavating Co.</t>
  </si>
  <si>
    <t>35080 Lakeland Boulevard</t>
  </si>
  <si>
    <t>Eastlake</t>
  </si>
  <si>
    <t>Ame Rorapaugh</t>
  </si>
  <si>
    <t>KMI</t>
  </si>
  <si>
    <t>Kokosing Materials Inc.</t>
  </si>
  <si>
    <t>17531 Waterford Rd.</t>
  </si>
  <si>
    <t>P.O. Box 334</t>
  </si>
  <si>
    <t>Fredericktown</t>
  </si>
  <si>
    <t>Susan Krantz</t>
  </si>
  <si>
    <t>(740)848-4980</t>
  </si>
  <si>
    <t>kmiap@kokosing.biz</t>
  </si>
  <si>
    <t>KMU</t>
  </si>
  <si>
    <t xml:space="preserve">KMU Trucking &amp; Excavating </t>
  </si>
  <si>
    <t xml:space="preserve">4436  Center Rd </t>
  </si>
  <si>
    <t>Avon</t>
  </si>
  <si>
    <t>kmulori@gmail.com</t>
  </si>
  <si>
    <t>KOKO</t>
  </si>
  <si>
    <t>Kokosing Construction Company</t>
  </si>
  <si>
    <t>P.O Box 266</t>
  </si>
  <si>
    <t>Dawn Ward</t>
  </si>
  <si>
    <t>dew@kokosing.biz</t>
  </si>
  <si>
    <t>KONSKING</t>
  </si>
  <si>
    <t>Konstruction King, Inc.</t>
  </si>
  <si>
    <t>1270 West 130th Street</t>
  </si>
  <si>
    <t>Suite 300</t>
  </si>
  <si>
    <t>Brunswick</t>
  </si>
  <si>
    <t>KRAL</t>
  </si>
  <si>
    <t>Kral Builders Supply Co.</t>
  </si>
  <si>
    <t>Rich</t>
  </si>
  <si>
    <t>KURTZ</t>
  </si>
  <si>
    <t>Kurtz Bros., Inc.</t>
  </si>
  <si>
    <t>6415 Granger Road</t>
  </si>
  <si>
    <t>LAKE</t>
  </si>
  <si>
    <t>Lakeland Electric, Inc.</t>
  </si>
  <si>
    <t>5350 Grant Ave.</t>
  </si>
  <si>
    <t>Cuyahoga Hts.</t>
  </si>
  <si>
    <t>(216)520-5025</t>
  </si>
  <si>
    <t>accounting@lakelandohio.com</t>
  </si>
  <si>
    <t>LANDD</t>
  </si>
  <si>
    <t>L&amp;D Trucking</t>
  </si>
  <si>
    <t>10609 Eliot Ave</t>
  </si>
  <si>
    <t>LAYTON</t>
  </si>
  <si>
    <t>Layton Services</t>
  </si>
  <si>
    <t>1384 East Main Street</t>
  </si>
  <si>
    <t>Newark</t>
  </si>
  <si>
    <t>LCI</t>
  </si>
  <si>
    <t>LCI Construction</t>
  </si>
  <si>
    <t>8227 Euclid Chardon Road</t>
  </si>
  <si>
    <t>MALENT</t>
  </si>
  <si>
    <t>MAL Enterprises Inc.</t>
  </si>
  <si>
    <t>1207 Elmwood Road</t>
  </si>
  <si>
    <t>MARKS</t>
  </si>
  <si>
    <t>Marks Construction Inc.</t>
  </si>
  <si>
    <t>5855 Center Rd.</t>
  </si>
  <si>
    <t>Valley City</t>
  </si>
  <si>
    <t>(330)2733121</t>
  </si>
  <si>
    <t>Joelle@marksconstructioninc.com</t>
  </si>
  <si>
    <t>MARRA</t>
  </si>
  <si>
    <t>Marra Services, Inc.</t>
  </si>
  <si>
    <t>700 E. 73rd. St.</t>
  </si>
  <si>
    <t>(216)361-9977</t>
  </si>
  <si>
    <t>apmarra@marrainc.com</t>
  </si>
  <si>
    <t>MCKIN</t>
  </si>
  <si>
    <t>McKinney Drilling Company</t>
  </si>
  <si>
    <t>7233 Division St.</t>
  </si>
  <si>
    <t>Bedford</t>
  </si>
  <si>
    <t>MCKINLEY</t>
  </si>
  <si>
    <t>McKinley Industries, LLC</t>
  </si>
  <si>
    <t>317 W. LaClede Avenue</t>
  </si>
  <si>
    <t>Youngstown</t>
  </si>
  <si>
    <t>William McKinley</t>
  </si>
  <si>
    <t>MIDDLE</t>
  </si>
  <si>
    <t>Middleton Mechanical, LLC</t>
  </si>
  <si>
    <t>Post Office Box 1387</t>
  </si>
  <si>
    <t>Mansfield</t>
  </si>
  <si>
    <t>Sarah Pratt</t>
  </si>
  <si>
    <t>spratt@middletonmechanical.com</t>
  </si>
  <si>
    <t>Mike Coates Construction Co.</t>
  </si>
  <si>
    <t>800 Summit Ave.</t>
  </si>
  <si>
    <t>Niles</t>
  </si>
  <si>
    <t>Sara Pittman</t>
  </si>
  <si>
    <t>(330)652-0190</t>
  </si>
  <si>
    <t>accountspayable@mikecoatesconstruction.com</t>
  </si>
  <si>
    <t>MILLER</t>
  </si>
  <si>
    <t>Miller Pipeline, LLC</t>
  </si>
  <si>
    <t>PO Box 34141</t>
  </si>
  <si>
    <t>Indianapolis</t>
  </si>
  <si>
    <t>IN</t>
  </si>
  <si>
    <t>Nancy Hunt</t>
  </si>
  <si>
    <t>apinfo@millerpipeline.com</t>
  </si>
  <si>
    <t>MISC</t>
  </si>
  <si>
    <t>Miscellaneous</t>
  </si>
  <si>
    <t>MORABITO</t>
  </si>
  <si>
    <t>Morabito Trucking</t>
  </si>
  <si>
    <t>3560 E 55th St</t>
  </si>
  <si>
    <t>MPW</t>
  </si>
  <si>
    <t>Modern Poured Walls Const. Svc</t>
  </si>
  <si>
    <t>41807 State Route 18</t>
  </si>
  <si>
    <t>Wellington</t>
  </si>
  <si>
    <t>pfreeman@mpwcs.com</t>
  </si>
  <si>
    <t>MREX</t>
  </si>
  <si>
    <t>8616 Euclid-Chardon Road</t>
  </si>
  <si>
    <t>MUICONST</t>
  </si>
  <si>
    <t>Mui Construction</t>
  </si>
  <si>
    <t>12351 Prospect Road</t>
  </si>
  <si>
    <t>Strongsville</t>
  </si>
  <si>
    <t>NCOAST</t>
  </si>
  <si>
    <t>North Coast Concrete, Inc.</t>
  </si>
  <si>
    <t>6061 Carey Drive</t>
  </si>
  <si>
    <t xml:space="preserve">accounting@northcoastconcrete.com </t>
  </si>
  <si>
    <t>NCPAV</t>
  </si>
  <si>
    <t>North Coast Paving</t>
  </si>
  <si>
    <t>2417 Woodhill Rd</t>
  </si>
  <si>
    <t>Louise</t>
  </si>
  <si>
    <t>louise@northcoastpaving.com</t>
  </si>
  <si>
    <t>NELAND</t>
  </si>
  <si>
    <t>North East Landscaping</t>
  </si>
  <si>
    <t>PO Box 26596</t>
  </si>
  <si>
    <t>NEOTRE</t>
  </si>
  <si>
    <t>NEO Trenching Shop</t>
  </si>
  <si>
    <t>17900 Miles Rd</t>
  </si>
  <si>
    <t>Warrensville Hts</t>
  </si>
  <si>
    <t>(216)663-6006</t>
  </si>
  <si>
    <t>skovacs@neots.cc</t>
  </si>
  <si>
    <t>NERONE</t>
  </si>
  <si>
    <t>Nerone &amp; Sons, Inc</t>
  </si>
  <si>
    <t>19501 S. Miles Rd.</t>
  </si>
  <si>
    <t>Warrensville Hts.</t>
  </si>
  <si>
    <t>laura@nerone.biz</t>
  </si>
  <si>
    <t>NEW</t>
  </si>
  <si>
    <t>New Vista Enterprises</t>
  </si>
  <si>
    <t>11009 Woodland Ave.</t>
  </si>
  <si>
    <t>Lisa/Dan</t>
  </si>
  <si>
    <t>(216)291-1100</t>
  </si>
  <si>
    <t>billing@newvistaent.com</t>
  </si>
  <si>
    <t>NNS</t>
  </si>
  <si>
    <t>N &amp; N Services</t>
  </si>
  <si>
    <t>4370 Marin Wood</t>
  </si>
  <si>
    <t>Port Clinton</t>
  </si>
  <si>
    <t>nnservices@ymail.com</t>
  </si>
  <si>
    <t>NORRIS</t>
  </si>
  <si>
    <t>Norris Bros. Construction</t>
  </si>
  <si>
    <t>2138 Davenport Avenue</t>
  </si>
  <si>
    <t>Dennis Brunkus</t>
  </si>
  <si>
    <t>OCPP</t>
  </si>
  <si>
    <t xml:space="preserve">1545 W. 130th </t>
  </si>
  <si>
    <t>Unit E</t>
  </si>
  <si>
    <t>Hinckley</t>
  </si>
  <si>
    <t>Marina</t>
  </si>
  <si>
    <t>(440)638-4142</t>
  </si>
  <si>
    <t xml:space="preserve">marina@ohiopoolandpatio.com </t>
  </si>
  <si>
    <t>OREILLY</t>
  </si>
  <si>
    <t>O'Reilly Equipment</t>
  </si>
  <si>
    <t>PERK</t>
  </si>
  <si>
    <t>Perk Company, Inc.</t>
  </si>
  <si>
    <t>8100 Grand Avenue</t>
  </si>
  <si>
    <t>Suite #300</t>
  </si>
  <si>
    <t>pfowler@perkcompany.com</t>
  </si>
  <si>
    <t>PETTY</t>
  </si>
  <si>
    <t>Petty Group LLC</t>
  </si>
  <si>
    <t>13675 McCracken Rd</t>
  </si>
  <si>
    <t>PLATFORM</t>
  </si>
  <si>
    <t>Platform Contracting</t>
  </si>
  <si>
    <t>7503 Tyler Boulevard</t>
  </si>
  <si>
    <t>ap@platformcontracting.com</t>
  </si>
  <si>
    <t>PRECISION</t>
  </si>
  <si>
    <t>Precision Procut</t>
  </si>
  <si>
    <t>5500 Old Brecksville Rd</t>
  </si>
  <si>
    <t>Geoff Russel</t>
  </si>
  <si>
    <t>216-573-2400</t>
  </si>
  <si>
    <t>PROQUAL</t>
  </si>
  <si>
    <t>ProQuality Land Development</t>
  </si>
  <si>
    <t>1630 Wilson Ave.</t>
  </si>
  <si>
    <t>Cosmo Iamurri</t>
  </si>
  <si>
    <t>info@proqualitydemo.com</t>
  </si>
  <si>
    <t>PROSUP</t>
  </si>
  <si>
    <t>ProSupply</t>
  </si>
  <si>
    <t>29103 Euclid Avenue</t>
  </si>
  <si>
    <t>Wickliffe</t>
  </si>
  <si>
    <t>Ca</t>
  </si>
  <si>
    <t>RARCONT</t>
  </si>
  <si>
    <t>RAR Contracting Co., Inc.</t>
  </si>
  <si>
    <t>5545 Canal Road</t>
  </si>
  <si>
    <t>RJPLATT</t>
  </si>
  <si>
    <t>R.J. Platten Contracting Co.</t>
  </si>
  <si>
    <t>14490 York Road</t>
  </si>
  <si>
    <t>Darlene Einloth</t>
  </si>
  <si>
    <t>RLCOLE</t>
  </si>
  <si>
    <t>RL Cole Enterprises</t>
  </si>
  <si>
    <t>PO Box 22088</t>
  </si>
  <si>
    <t>Beachwood</t>
  </si>
  <si>
    <t>Curtis</t>
  </si>
  <si>
    <t>(216)675-2578</t>
  </si>
  <si>
    <t>Send invoice to PO Box</t>
  </si>
  <si>
    <t>RONYAK</t>
  </si>
  <si>
    <t>Ronyak Paving Inc.</t>
  </si>
  <si>
    <t>14376 N. Cheshire St.</t>
  </si>
  <si>
    <t>Tracy Helt</t>
  </si>
  <si>
    <t>(440)-834-1988</t>
  </si>
  <si>
    <t>accounting@ronyakpaving.com</t>
  </si>
  <si>
    <t>RUHLIN</t>
  </si>
  <si>
    <t>The Ruhlin Company</t>
  </si>
  <si>
    <t xml:space="preserve">6931 Ridge Rd. </t>
  </si>
  <si>
    <t>P.O.Box 100</t>
  </si>
  <si>
    <t>Sharon Center</t>
  </si>
  <si>
    <t>accountspayable@ruhlin.com</t>
  </si>
  <si>
    <t>SCHIRMER</t>
  </si>
  <si>
    <t>Schirmer Construction</t>
  </si>
  <si>
    <t>31350 Industrial Pkwy</t>
  </si>
  <si>
    <t>North Olmsted</t>
  </si>
  <si>
    <t>ap@schirmerllc.com</t>
  </si>
  <si>
    <t>SEALTECH</t>
  </si>
  <si>
    <t>SealTech, Inc.</t>
  </si>
  <si>
    <t>17710 S. Waterloo Road</t>
  </si>
  <si>
    <t>Jim Lawless</t>
  </si>
  <si>
    <t>cwise@sealtechcoating.com</t>
  </si>
  <si>
    <t>SEGRADE</t>
  </si>
  <si>
    <t>Southeast Grading &amp; Hauling</t>
  </si>
  <si>
    <t>1111 Sweetbriar Trace</t>
  </si>
  <si>
    <t>Madison</t>
  </si>
  <si>
    <t>GA</t>
  </si>
  <si>
    <t>SETINC</t>
  </si>
  <si>
    <t>S.E.T., Inc.</t>
  </si>
  <si>
    <t>235 East Water Street</t>
  </si>
  <si>
    <t>Lowellville</t>
  </si>
  <si>
    <t>SHELLY</t>
  </si>
  <si>
    <t>Shelly Materials Company</t>
  </si>
  <si>
    <t xml:space="preserve">80 Park Drive </t>
  </si>
  <si>
    <t xml:space="preserve">P.O Box 266 </t>
  </si>
  <si>
    <t xml:space="preserve">Thornville </t>
  </si>
  <si>
    <t>SHOOK</t>
  </si>
  <si>
    <t xml:space="preserve">Shook Construction Co. </t>
  </si>
  <si>
    <t>6860 W. Snowville Rd. Ste. 100</t>
  </si>
  <si>
    <t>invoices@shookconstruction.com</t>
  </si>
  <si>
    <t>SITETEC</t>
  </si>
  <si>
    <t>Sitetech, Inc.</t>
  </si>
  <si>
    <t>35700 East Royalton Road</t>
  </si>
  <si>
    <t>Grafton</t>
  </si>
  <si>
    <t>440-241-0361 (Dave Smith)</t>
  </si>
  <si>
    <t>accountspayable@sitetechexcavating.com</t>
  </si>
  <si>
    <t>SITEWORX</t>
  </si>
  <si>
    <t>Siteworx Unlimited LLC.</t>
  </si>
  <si>
    <t>15 Alpha Park</t>
  </si>
  <si>
    <t>Highland Hts.</t>
  </si>
  <si>
    <t>Lisa</t>
  </si>
  <si>
    <t>(330)488-5539</t>
  </si>
  <si>
    <t>Lisa@siteworxunlimited.com</t>
  </si>
  <si>
    <t>SNAVELY</t>
  </si>
  <si>
    <t>Snavely Excavating</t>
  </si>
  <si>
    <t>16740 Park Circle Drive</t>
  </si>
  <si>
    <t>Denise Rakar</t>
  </si>
  <si>
    <t>denise@snavelycompany.com</t>
  </si>
  <si>
    <t>SNIDER</t>
  </si>
  <si>
    <t>Snider Recreation, INC</t>
  </si>
  <si>
    <t>10139 Royalton Rd</t>
  </si>
  <si>
    <t>Suit K</t>
  </si>
  <si>
    <t xml:space="preserve">North Royalton </t>
  </si>
  <si>
    <t>SOLTIS</t>
  </si>
  <si>
    <t>Soltis &amp; Sons Enterprise, LLC.</t>
  </si>
  <si>
    <t>3469 St. Rt. 305</t>
  </si>
  <si>
    <t>Southington</t>
  </si>
  <si>
    <t>Krisitin</t>
  </si>
  <si>
    <t>(330) 978-3171</t>
  </si>
  <si>
    <t>kcasale@soltisandsons.com</t>
  </si>
  <si>
    <t>SOUND</t>
  </si>
  <si>
    <t>Sound Energy Company Inc.</t>
  </si>
  <si>
    <t>P.O. Box 306</t>
  </si>
  <si>
    <t>Dover</t>
  </si>
  <si>
    <t>SPANO</t>
  </si>
  <si>
    <t>Spano Brothers Construction Co</t>
  </si>
  <si>
    <t>2595 Pressler Rd</t>
  </si>
  <si>
    <t xml:space="preserve">Akron </t>
  </si>
  <si>
    <t>Kaitlyn</t>
  </si>
  <si>
    <t>office@spanobros.com</t>
  </si>
  <si>
    <t>SUMMIT</t>
  </si>
  <si>
    <t>Summit Petroleum Inc.</t>
  </si>
  <si>
    <t>9345 Ravenna Rd.</t>
  </si>
  <si>
    <t>Unit A</t>
  </si>
  <si>
    <t>Twinsburg</t>
  </si>
  <si>
    <t>Tim Altier</t>
  </si>
  <si>
    <t>(330)487-5494</t>
  </si>
  <si>
    <t>taltier@summitpetroleuminc.com</t>
  </si>
  <si>
    <t>SWCOMPAN</t>
  </si>
  <si>
    <t>Southwest Companies</t>
  </si>
  <si>
    <t>7717 Commerce Park Oval</t>
  </si>
  <si>
    <t>TCCON</t>
  </si>
  <si>
    <t>TC Construction Co., Inc.</t>
  </si>
  <si>
    <t>2936 Lynn Drive</t>
  </si>
  <si>
    <t>Willoughby Hills</t>
  </si>
  <si>
    <t>THREEZ</t>
  </si>
  <si>
    <t>Three-Z Supply</t>
  </si>
  <si>
    <t>8700 Heinton Rd.</t>
  </si>
  <si>
    <t>TITAN</t>
  </si>
  <si>
    <t>Titan Asphalt &amp; Paving</t>
  </si>
  <si>
    <t>9355 Pineneedle Drive</t>
  </si>
  <si>
    <t>TJSMITH</t>
  </si>
  <si>
    <t>TJ Smith Excavating</t>
  </si>
  <si>
    <t>11230 Hosford Rd</t>
  </si>
  <si>
    <t>Matt Smith</t>
  </si>
  <si>
    <t>(440)-487-0968</t>
  </si>
  <si>
    <t>tjsmith55@hotmail.com</t>
  </si>
  <si>
    <t>TONY</t>
  </si>
  <si>
    <t>Tony Nero</t>
  </si>
  <si>
    <t>19015 MUNN ROAD</t>
  </si>
  <si>
    <t>CHAGRIN FALLS</t>
  </si>
  <si>
    <t>Call Bob if this guy comes in</t>
  </si>
  <si>
    <t>TRAX</t>
  </si>
  <si>
    <t>TRAX Construction</t>
  </si>
  <si>
    <t>30701 Euclid Ave</t>
  </si>
  <si>
    <t>officemgr@traxohio.com</t>
  </si>
  <si>
    <t>ULLEXC</t>
  </si>
  <si>
    <t>Ullrich Excavating</t>
  </si>
  <si>
    <t>UNKNOWN</t>
  </si>
  <si>
    <t xml:space="preserve">UNKNOWN   </t>
  </si>
  <si>
    <t>UTILCONS</t>
  </si>
  <si>
    <t>Utilities Construction Co.</t>
  </si>
  <si>
    <t>645 South Green Road</t>
  </si>
  <si>
    <t>utilities@ohio.net</t>
  </si>
  <si>
    <t>VALLEJO</t>
  </si>
  <si>
    <t>The Vallejo Company</t>
  </si>
  <si>
    <t>4000 Brookpark Rd.</t>
  </si>
  <si>
    <t>Dana</t>
  </si>
  <si>
    <t>(216)741-3933</t>
  </si>
  <si>
    <t>accounting@vallejoco.com</t>
  </si>
  <si>
    <t>VENTRONE</t>
  </si>
  <si>
    <t>Ventrone Excavating, Inc.</t>
  </si>
  <si>
    <t>4534 Vilet St. SW</t>
  </si>
  <si>
    <t>Canton</t>
  </si>
  <si>
    <t>Patrick Ventrone</t>
  </si>
  <si>
    <t>(330)777-0023</t>
  </si>
  <si>
    <t>Ventrone.Excavating.Inc@gmail.com</t>
  </si>
  <si>
    <t>VIZMEG</t>
  </si>
  <si>
    <t>Vizmeg Landscape, Inc.</t>
  </si>
  <si>
    <t>778 McCauley Road</t>
  </si>
  <si>
    <t>VMI</t>
  </si>
  <si>
    <t>VMI Group, Inc</t>
  </si>
  <si>
    <t>8854 Valley View Rd.</t>
  </si>
  <si>
    <t>Macedonia</t>
  </si>
  <si>
    <t>WALSH</t>
  </si>
  <si>
    <t>Walsh Construction Co. II, LLC</t>
  </si>
  <si>
    <t>5633 Brecksville Road</t>
  </si>
  <si>
    <t>Joe Wilson</t>
  </si>
  <si>
    <t>WEAVER</t>
  </si>
  <si>
    <t xml:space="preserve">Weaver Commercial Contractor </t>
  </si>
  <si>
    <t>17279 East Old Lincolnway</t>
  </si>
  <si>
    <t>Dalton</t>
  </si>
  <si>
    <t>Brenda</t>
  </si>
  <si>
    <t>(330)264-9020</t>
  </si>
  <si>
    <t>brenda@weavercc.com</t>
  </si>
  <si>
    <t>WEBER</t>
  </si>
  <si>
    <t>Rob Weber</t>
  </si>
  <si>
    <t>WYNVEEN</t>
  </si>
  <si>
    <t>Brad Wynveen</t>
  </si>
  <si>
    <t>Direction</t>
  </si>
  <si>
    <t>OUT</t>
  </si>
  <si>
    <t>Material new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</si>
</sst>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[&lt;=9999999]###\-####;\(###\)\ ###\-####"/>
  </numFmts>
  <fonts count="9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22222"/>
      <name val="Roboto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56">
    <xf numFmtId="0" fontId="0" fillId="0" borderId="0" xfId="0"/>
    <xf numFmtId="0" fontId="1" fillId="2" borderId="1" xfId="1" applyBorder="1" applyAlignment="1">
      <alignment horizontal="center"/>
    </xf>
    <xf numFmtId="0" fontId="1" fillId="2" borderId="2" xfId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2" borderId="2" xfId="1" applyBorder="1" applyAlignment="1">
      <alignment horizontal="center" wrapText="1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3" borderId="2" xfId="0" applyFill="1" applyBorder="1"/>
    <xf numFmtId="0" fontId="0" fillId="3" borderId="3" xfId="0" applyFill="1" applyBorder="1"/>
    <xf numFmtId="164" fontId="0" fillId="4" borderId="2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6" fontId="0" fillId="0" borderId="5" xfId="0" applyNumberFormat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 vertical="center"/>
    </xf>
    <xf numFmtId="6" fontId="0" fillId="0" borderId="5" xfId="0" applyNumberFormat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6" fontId="0" fillId="0" borderId="7" xfId="0" applyNumberFormat="1" applyBorder="1" applyAlignment="1">
      <alignment horizontal="center" vertical="center"/>
    </xf>
    <xf numFmtId="164" fontId="0" fillId="0" borderId="0" xfId="0" applyNumberFormat="1"/>
    <xf numFmtId="0" fontId="0" fillId="8" borderId="0" xfId="0" applyFill="1"/>
    <xf numFmtId="164" fontId="0" fillId="8" borderId="0" xfId="0" applyNumberFormat="1" applyFill="1"/>
    <xf numFmtId="0" fontId="5" fillId="8" borderId="0" xfId="0" applyFont="1" applyFill="1"/>
    <xf numFmtId="0" fontId="5" fillId="8" borderId="0" xfId="2" applyFont="1" applyFill="1" applyAlignment="1">
      <alignment wrapText="1"/>
    </xf>
    <xf numFmtId="0" fontId="6" fillId="0" borderId="0" xfId="2"/>
    <xf numFmtId="0" fontId="6" fillId="0" borderId="0" xfId="2" applyAlignment="1">
      <alignment wrapText="1"/>
    </xf>
    <xf numFmtId="0" fontId="4" fillId="8" borderId="0" xfId="0" applyFont="1" applyFill="1"/>
    <xf numFmtId="0" fontId="6" fillId="8" borderId="0" xfId="2" applyFill="1"/>
    <xf numFmtId="164" fontId="4" fillId="8" borderId="0" xfId="0" applyNumberFormat="1" applyFont="1" applyFill="1"/>
    <xf numFmtId="0" fontId="0" fillId="4" borderId="0" xfId="0" applyFill="1"/>
    <xf numFmtId="0" fontId="6" fillId="4" borderId="0" xfId="2" applyFill="1"/>
    <xf numFmtId="164" fontId="0" fillId="4" borderId="0" xfId="0" applyNumberFormat="1" applyFill="1"/>
    <xf numFmtId="0" fontId="6" fillId="0" borderId="0" xfId="2" applyFill="1"/>
    <xf numFmtId="0" fontId="7" fillId="0" borderId="0" xfId="0" applyFont="1"/>
    <xf numFmtId="0" fontId="6" fillId="0" borderId="0" xfId="2" applyAlignment="1">
      <alignment vertical="center"/>
    </xf>
    <xf numFmtId="0" fontId="8" fillId="0" borderId="0" xfId="0" applyFont="1"/>
    <xf numFmtId="0" fontId="4" fillId="0" borderId="0" xfId="0" applyFont="1"/>
    <xf numFmtId="0" fontId="5" fillId="0" borderId="0" xfId="2" applyFont="1"/>
    <xf numFmtId="0" fontId="3" fillId="0" borderId="0" xfId="0" applyFont="1"/>
    <xf numFmtId="0" fontId="2" fillId="6" borderId="0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6" fontId="0" fillId="0" borderId="0" xfId="0" applyNumberFormat="1" applyFill="1" applyBorder="1" applyAlignment="1">
      <alignment horizontal="left"/>
    </xf>
  </cellXfs>
  <cellStyles count="3">
    <cellStyle name="Good" xfId="1" builtinId="26"/>
    <cellStyle name="Hyperlink" xfId="2" builtinId="8"/>
    <cellStyle name="Normal" xfId="0" builtinId="0"/>
  </cellStyles>
  <dxfs count="1">
    <dxf>
      <numFmt numFmtId="164" formatCode="[&lt;=9999999]###\-####;\(###\)\ ###\-####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Brandon%20Woods\2025%20DumpLog%20%20Use%20This%20Log%20per%20TAF.xlsm" TargetMode="External"/><Relationship Id="rId1" Type="http://schemas.openxmlformats.org/officeDocument/2006/relationships/externalLinkPath" Target="file:///K:\Brandon%20Woods\2025%20DumpLog%20%20Use%20This%20Log%20per%20TAF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"/>
      <sheetName val="Activity"/>
      <sheetName val="Material"/>
      <sheetName val="INFO"/>
      <sheetName val="Trucking"/>
      <sheetName val="Date"/>
      <sheetName val="Customers"/>
      <sheetName val="TruckSize"/>
      <sheetName val="New Ticket"/>
      <sheetName val="Reprint"/>
      <sheetName val="Price Sheet"/>
      <sheetName val="Price Sheet Proof"/>
    </sheetNames>
    <sheetDataSet>
      <sheetData sheetId="0" refreshError="1"/>
      <sheetData sheetId="1" refreshError="1"/>
      <sheetData sheetId="2" refreshError="1"/>
      <sheetData sheetId="3" refreshError="1">
        <row r="75">
          <cell r="D75">
            <v>10</v>
          </cell>
          <cell r="E75" t="str">
            <v>#10 Limestone (Out)</v>
          </cell>
          <cell r="F75">
            <v>33</v>
          </cell>
          <cell r="G75" t="str">
            <v>#10 Material Out</v>
          </cell>
        </row>
        <row r="76">
          <cell r="D76">
            <v>57</v>
          </cell>
          <cell r="E76" t="str">
            <v>#57 Limestone (Out)</v>
          </cell>
          <cell r="F76">
            <v>34</v>
          </cell>
          <cell r="G76" t="str">
            <v>#57 Material Out</v>
          </cell>
        </row>
        <row r="77">
          <cell r="D77">
            <v>304</v>
          </cell>
          <cell r="E77" t="str">
            <v>#304 Limestone (Out)</v>
          </cell>
          <cell r="F77">
            <v>32</v>
          </cell>
          <cell r="G77" t="str">
            <v>#304 Material Out</v>
          </cell>
        </row>
        <row r="78">
          <cell r="D78" t="str">
            <v>RCC304</v>
          </cell>
          <cell r="E78" t="str">
            <v>#304 Recycled Concrete (Out)</v>
          </cell>
          <cell r="F78">
            <v>40</v>
          </cell>
          <cell r="G78" t="str">
            <v>#304 RCC Out</v>
          </cell>
        </row>
        <row r="79">
          <cell r="D79" t="str">
            <v>RCC12</v>
          </cell>
          <cell r="E79" t="str">
            <v>#1&amp;2 Recycled Concrete (Out)</v>
          </cell>
          <cell r="F79">
            <v>41</v>
          </cell>
          <cell r="G79" t="str">
            <v>#1&amp;2RCC Out</v>
          </cell>
        </row>
        <row r="80">
          <cell r="D80" t="str">
            <v>RCC57</v>
          </cell>
          <cell r="E80" t="str">
            <v>#57 Recycled Concrete (Out)</v>
          </cell>
          <cell r="F80">
            <v>42</v>
          </cell>
          <cell r="G80" t="str">
            <v>#57RCC Out</v>
          </cell>
        </row>
        <row r="81">
          <cell r="D81" t="str">
            <v>Asph</v>
          </cell>
          <cell r="E81" t="str">
            <v>Broken Asphalt (IN)</v>
          </cell>
          <cell r="F81">
            <v>8</v>
          </cell>
          <cell r="G81" t="str">
            <v>Less desirable fill material</v>
          </cell>
        </row>
        <row r="82">
          <cell r="D82" t="str">
            <v>Bric</v>
          </cell>
          <cell r="E82" t="str">
            <v>Other Clean Hard Fill (IN)</v>
          </cell>
          <cell r="F82">
            <v>5</v>
          </cell>
          <cell r="G82" t="str">
            <v>Material to be placed in  any fill area, no retrictions</v>
          </cell>
        </row>
        <row r="83">
          <cell r="D83" t="str">
            <v>Cert</v>
          </cell>
          <cell r="E83" t="str">
            <v xml:space="preserve">Certified (IN) </v>
          </cell>
          <cell r="F83">
            <v>7</v>
          </cell>
          <cell r="G83" t="str">
            <v>Material to be placed in Fill with DOT/EPA or other restrictions (i.e. Controlled documented area)</v>
          </cell>
        </row>
        <row r="84">
          <cell r="D84" t="str">
            <v>Comp</v>
          </cell>
          <cell r="E84" t="str">
            <v>Compactable Fill Dirt (IN)</v>
          </cell>
          <cell r="F84">
            <v>2</v>
          </cell>
          <cell r="G84" t="str">
            <v>Material that has resale value as is.  This material may be placed in a stockpile or in a designated fill area. May require documentation by customer to qualify.  (i.e. clean compactible fill  may rewuire soils report from the job)</v>
          </cell>
        </row>
        <row r="85">
          <cell r="D85" t="str">
            <v>Conc</v>
          </cell>
          <cell r="E85" t="str">
            <v xml:space="preserve">Broken Concrete (IN) </v>
          </cell>
          <cell r="F85">
            <v>4</v>
          </cell>
          <cell r="G85" t="str">
            <v>Material to be place in pile for heavy processing to be resold</v>
          </cell>
        </row>
        <row r="86">
          <cell r="D86" t="str">
            <v>Ctop</v>
          </cell>
          <cell r="E86" t="str">
            <v>Bulk Topsoil (clean) (IN)</v>
          </cell>
          <cell r="F86">
            <v>3</v>
          </cell>
          <cell r="G86" t="str">
            <v>Material to be placed in pile for light processing (i.e. screening) to be resold</v>
          </cell>
        </row>
        <row r="87">
          <cell r="D87" t="str">
            <v>Deck</v>
          </cell>
          <cell r="E87" t="str">
            <v>Bridge Deck (IN)</v>
          </cell>
          <cell r="F87">
            <v>12</v>
          </cell>
          <cell r="G87" t="str">
            <v>Bridge Deck</v>
          </cell>
        </row>
        <row r="88">
          <cell r="D88" t="str">
            <v>Dirt</v>
          </cell>
          <cell r="E88" t="str">
            <v>Other Clean Hard Fill (IN)</v>
          </cell>
          <cell r="F88">
            <v>5</v>
          </cell>
          <cell r="G88" t="str">
            <v>Material to be placed in  any fill area, no retrictions</v>
          </cell>
        </row>
        <row r="89">
          <cell r="D89" t="str">
            <v>Grin</v>
          </cell>
          <cell r="E89" t="str">
            <v>Asphalt Grindings (no chunks) (IN)</v>
          </cell>
          <cell r="F89">
            <v>1</v>
          </cell>
          <cell r="G89" t="str">
            <v>Material that  benefits the yard / facility. Can be utilized or stockpiled. We may indicate that this item will be treated as a diffent category (higher $) depending upon our need or supply.</v>
          </cell>
        </row>
        <row r="90">
          <cell r="D90" t="str">
            <v>OBSAND</v>
          </cell>
          <cell r="E90" t="str">
            <v>Bulk Sand (PreScreened) (OUT)</v>
          </cell>
          <cell r="F90">
            <v>20</v>
          </cell>
          <cell r="G90" t="str">
            <v>Bulk Sand (PreScreened) (OUT)</v>
          </cell>
        </row>
        <row r="91">
          <cell r="D91" t="str">
            <v>OCHF</v>
          </cell>
          <cell r="E91" t="str">
            <v>Other Clean Hard Fill (IN)</v>
          </cell>
          <cell r="F91">
            <v>5</v>
          </cell>
          <cell r="G91" t="str">
            <v>Material to be placed in  any fill area, no retrictions</v>
          </cell>
        </row>
        <row r="92">
          <cell r="D92" t="str">
            <v>ODirt</v>
          </cell>
          <cell r="E92" t="str">
            <v>Fill Dirt (OUT)</v>
          </cell>
          <cell r="F92">
            <v>21</v>
          </cell>
          <cell r="G92" t="str">
            <v>Fill Dirt (OUT)</v>
          </cell>
        </row>
        <row r="93">
          <cell r="D93" t="str">
            <v>OGrin</v>
          </cell>
          <cell r="E93" t="str">
            <v>Asphalt Grindings (OUT)</v>
          </cell>
          <cell r="F93">
            <v>22</v>
          </cell>
          <cell r="G93" t="str">
            <v>Asphalt Grindings (OUT)</v>
          </cell>
        </row>
        <row r="94">
          <cell r="D94" t="str">
            <v>OSSAND</v>
          </cell>
          <cell r="E94" t="str">
            <v>Sand Screened (OUT)</v>
          </cell>
          <cell r="F94">
            <v>30</v>
          </cell>
          <cell r="G94" t="str">
            <v>Sand Screened (OUT)</v>
          </cell>
        </row>
        <row r="95">
          <cell r="D95" t="str">
            <v>Ostop</v>
          </cell>
          <cell r="E95" t="str">
            <v>Screened Topsoil (OUT)</v>
          </cell>
          <cell r="F95">
            <v>31</v>
          </cell>
          <cell r="G95" t="str">
            <v>Screened Topsoil (OUT)</v>
          </cell>
        </row>
        <row r="96">
          <cell r="D96" t="str">
            <v>Otop</v>
          </cell>
          <cell r="E96" t="str">
            <v>Bulk Topsoil (OUT)</v>
          </cell>
          <cell r="F96">
            <v>23</v>
          </cell>
          <cell r="G96" t="str">
            <v>Bulk Topsoil (OUT)</v>
          </cell>
        </row>
        <row r="97">
          <cell r="D97" t="str">
            <v>Rtop</v>
          </cell>
          <cell r="E97" t="str">
            <v>Other Clean Hard Fill (IN)</v>
          </cell>
          <cell r="F97">
            <v>5</v>
          </cell>
          <cell r="G97" t="str">
            <v>Material to be placed in  any fill area, no retrictions</v>
          </cell>
        </row>
        <row r="98">
          <cell r="D98" t="str">
            <v>Rubb</v>
          </cell>
          <cell r="E98" t="str">
            <v>Rubble (In)</v>
          </cell>
          <cell r="F98">
            <v>5</v>
          </cell>
          <cell r="G98" t="str">
            <v>Material to be placed in  any fill area, no retrictions</v>
          </cell>
        </row>
        <row r="99">
          <cell r="D99" t="str">
            <v>Sand</v>
          </cell>
          <cell r="E99" t="str">
            <v>Sand (pre-screened) (IN)</v>
          </cell>
          <cell r="F99">
            <v>2</v>
          </cell>
          <cell r="G99" t="str">
            <v>Material that has resale value as is.  This material may be placed in a stockpile or in a designated fill area. May require documentation by customer to qualify.  (i.e. clean compactible fill  may rewuire soils report from the job)</v>
          </cell>
        </row>
        <row r="100">
          <cell r="D100" t="str">
            <v>Slop</v>
          </cell>
          <cell r="E100" t="str">
            <v>Slop (IN)</v>
          </cell>
          <cell r="F100">
            <v>6</v>
          </cell>
          <cell r="G100" t="str">
            <v>Material to be placed in fill area ony after treatment (i.e. drying)</v>
          </cell>
        </row>
        <row r="101">
          <cell r="D101" t="str">
            <v>Stump</v>
          </cell>
          <cell r="E101" t="str">
            <v>Tree Stumps (In)</v>
          </cell>
          <cell r="F101">
            <v>11</v>
          </cell>
          <cell r="G101" t="str">
            <v>Tree Stumps</v>
          </cell>
        </row>
        <row r="102">
          <cell r="D102" t="str">
            <v>YdWst</v>
          </cell>
          <cell r="E102" t="str">
            <v>Yard - Grass,Leaves,Woodchips (In)</v>
          </cell>
          <cell r="F102">
            <v>10</v>
          </cell>
          <cell r="G102" t="str">
            <v>Yard Waste Grass,Leaves,Woodchips (In)</v>
          </cell>
        </row>
        <row r="103">
          <cell r="D103" t="str">
            <v>Snow</v>
          </cell>
          <cell r="E103" t="str">
            <v>Snow In</v>
          </cell>
          <cell r="F103">
            <v>80</v>
          </cell>
          <cell r="G103" t="str">
            <v>Snow</v>
          </cell>
        </row>
        <row r="104">
          <cell r="D104" t="str">
            <v>WetO</v>
          </cell>
          <cell r="E104" t="str">
            <v>Wet Dirt w/ Organics</v>
          </cell>
          <cell r="F104">
            <v>14</v>
          </cell>
          <cell r="G104" t="str">
            <v>Wet Dirt with Organics</v>
          </cell>
        </row>
        <row r="105">
          <cell r="D105" t="str">
            <v>ZZZ</v>
          </cell>
          <cell r="E105" t="str">
            <v>Enter Table Row Above for new item</v>
          </cell>
          <cell r="F105">
            <v>999</v>
          </cell>
          <cell r="G105" t="e">
            <v>#N/A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Cas_McCracken" backgroundRefresh="0" connectionId="1" xr16:uid="{1AA09AF1-A355-4B84-898C-E98C7B441ED2}" autoFormatId="16" applyNumberFormats="0" applyBorderFormats="0" applyFontFormats="0" applyPatternFormats="0" applyAlignmentFormats="0" applyWidthHeightFormats="0">
  <queryTableRefresh nextId="22" unboundColumnsRight="1">
    <queryTableFields count="10">
      <queryTableField id="10" name="Customer #" tableColumnId="1"/>
      <queryTableField id="11" name="Customer Name" tableColumnId="2"/>
      <queryTableField id="12" name="Address Line 1" tableColumnId="3"/>
      <queryTableField id="13" name="Address Line 2" tableColumnId="4"/>
      <queryTableField id="5" name="city" tableColumnId="5"/>
      <queryTableField id="6" name="state" tableColumnId="6"/>
      <queryTableField id="14" name="Zip Code" tableColumnId="7"/>
      <queryTableField id="8" name="contact" tableColumnId="8"/>
      <queryTableField id="15" name="Phone #" tableColumnId="9"/>
      <queryTableField id="2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28AF2-F1D7-4F97-9A9D-412B4D2E4747}" name="FSICustomerQuery" displayName="FSICustomerQuery" ref="A1:J148" tableType="queryTable" totalsRowShown="0">
  <autoFilter ref="A1:J148" xr:uid="{57328AF2-F1D7-4F97-9A9D-412B4D2E4747}"/>
  <sortState xmlns:xlrd2="http://schemas.microsoft.com/office/spreadsheetml/2017/richdata2" ref="A2:J148">
    <sortCondition ref="A2:A149"/>
  </sortState>
  <tableColumns count="10">
    <tableColumn id="1" xr3:uid="{A0D6FC4E-DA83-4D10-91C6-83F3FAEAF49B}" uniqueName="1" name="Customer #" queryTableFieldId="10"/>
    <tableColumn id="2" xr3:uid="{ECB0DBC9-9154-4D3A-A4D9-A929F80E2595}" uniqueName="2" name="Customer Name" queryTableFieldId="11"/>
    <tableColumn id="3" xr3:uid="{7C4F3AF5-5372-4E7D-A3B3-F0453D7E86D7}" uniqueName="3" name="Address Line 1" queryTableFieldId="12"/>
    <tableColumn id="4" xr3:uid="{A657F11B-6494-4C3A-B2EE-0860B8669C69}" uniqueName="4" name="Address Line 2" queryTableFieldId="13"/>
    <tableColumn id="5" xr3:uid="{66C8C34C-F4E7-4C4C-9166-2DCB08AEFC1C}" uniqueName="5" name="City" queryTableFieldId="5"/>
    <tableColumn id="6" xr3:uid="{DD75D6D1-B1CD-4B1A-B7DC-8A63D0E278BA}" uniqueName="6" name="State" queryTableFieldId="6"/>
    <tableColumn id="7" xr3:uid="{6BFD3596-268F-48C3-9984-3D911848A3DD}" uniqueName="7" name="Zip Code" queryTableFieldId="14"/>
    <tableColumn id="8" xr3:uid="{504B5FCF-1A69-4C58-86FB-6F3DDF0B1256}" uniqueName="8" name="Contact" queryTableFieldId="8"/>
    <tableColumn id="9" xr3:uid="{95146040-2F61-4EEA-AB50-4728A68278CE}" uniqueName="9" name="Phone #" queryTableFieldId="15" dataDxfId="0"/>
    <tableColumn id="10" xr3:uid="{30832993-B26C-42F3-B6A0-E63EE1428952}" uniqueName="10" name="Notes" queryTableField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fitch@blackhorsebridge.com" TargetMode="External"/><Relationship Id="rId18" Type="http://schemas.openxmlformats.org/officeDocument/2006/relationships/hyperlink" Target="mailto:brenda@weavercc.com" TargetMode="External"/><Relationship Id="rId26" Type="http://schemas.openxmlformats.org/officeDocument/2006/relationships/hyperlink" Target="mailto:office@davisdiggers.com" TargetMode="External"/><Relationship Id="rId39" Type="http://schemas.openxmlformats.org/officeDocument/2006/relationships/hyperlink" Target="mailto:marina@ohiopoolandpatio.com" TargetMode="External"/><Relationship Id="rId21" Type="http://schemas.openxmlformats.org/officeDocument/2006/relationships/hyperlink" Target="mailto:judi@dennisalberexcavating.com" TargetMode="External"/><Relationship Id="rId34" Type="http://schemas.openxmlformats.org/officeDocument/2006/relationships/hyperlink" Target="mailto:accountspayable@sitetechexcavating.com" TargetMode="External"/><Relationship Id="rId42" Type="http://schemas.openxmlformats.org/officeDocument/2006/relationships/hyperlink" Target="mailto:joekane.carbide@gmail.com" TargetMode="External"/><Relationship Id="rId47" Type="http://schemas.openxmlformats.org/officeDocument/2006/relationships/hyperlink" Target="mailto:du.alloilfield@gmail.com" TargetMode="External"/><Relationship Id="rId50" Type="http://schemas.openxmlformats.org/officeDocument/2006/relationships/hyperlink" Target="mailto:cowboyearthwors@gmail.com" TargetMode="External"/><Relationship Id="rId55" Type="http://schemas.openxmlformats.org/officeDocument/2006/relationships/hyperlink" Target="mailto:kmulori@gmail.com" TargetMode="External"/><Relationship Id="rId63" Type="http://schemas.openxmlformats.org/officeDocument/2006/relationships/table" Target="../tables/table1.xml"/><Relationship Id="rId7" Type="http://schemas.openxmlformats.org/officeDocument/2006/relationships/hyperlink" Target="mailto:clasko@bremec.com" TargetMode="External"/><Relationship Id="rId2" Type="http://schemas.openxmlformats.org/officeDocument/2006/relationships/hyperlink" Target="mailto:ajcement@sbcglobal.net" TargetMode="External"/><Relationship Id="rId16" Type="http://schemas.openxmlformats.org/officeDocument/2006/relationships/hyperlink" Target="mailto:karvo@karvocompanies.com" TargetMode="External"/><Relationship Id="rId29" Type="http://schemas.openxmlformats.org/officeDocument/2006/relationships/hyperlink" Target="mailto:skovacs@neots.cc" TargetMode="External"/><Relationship Id="rId11" Type="http://schemas.openxmlformats.org/officeDocument/2006/relationships/hyperlink" Target="mailto:nnservices@ymail.com" TargetMode="External"/><Relationship Id="rId24" Type="http://schemas.openxmlformats.org/officeDocument/2006/relationships/hyperlink" Target="mailto:accounting@bbwreck.com" TargetMode="External"/><Relationship Id="rId32" Type="http://schemas.openxmlformats.org/officeDocument/2006/relationships/hyperlink" Target="mailto:laura@nerone.biz" TargetMode="External"/><Relationship Id="rId37" Type="http://schemas.openxmlformats.org/officeDocument/2006/relationships/hyperlink" Target="mailto:ap@schirmerllc.com" TargetMode="External"/><Relationship Id="rId40" Type="http://schemas.openxmlformats.org/officeDocument/2006/relationships/hyperlink" Target="mailto:Joelle@marksconstructioninc.com" TargetMode="External"/><Relationship Id="rId45" Type="http://schemas.openxmlformats.org/officeDocument/2006/relationships/hyperlink" Target="mailto:dew@kokosing.biz" TargetMode="External"/><Relationship Id="rId53" Type="http://schemas.openxmlformats.org/officeDocument/2006/relationships/hyperlink" Target="mailto:ap@platformcontracting.com" TargetMode="External"/><Relationship Id="rId58" Type="http://schemas.openxmlformats.org/officeDocument/2006/relationships/hyperlink" Target="mailto:accountspayable@mikecoatesconstruction.com" TargetMode="External"/><Relationship Id="rId5" Type="http://schemas.openxmlformats.org/officeDocument/2006/relationships/hyperlink" Target="mailto:pfowler@perkcompany.com" TargetMode="External"/><Relationship Id="rId61" Type="http://schemas.openxmlformats.org/officeDocument/2006/relationships/hyperlink" Target="mailto:utilities@ohio.net" TargetMode="External"/><Relationship Id="rId19" Type="http://schemas.openxmlformats.org/officeDocument/2006/relationships/hyperlink" Target="mailto:accounting@bbwreck.com" TargetMode="External"/><Relationship Id="rId14" Type="http://schemas.openxmlformats.org/officeDocument/2006/relationships/hyperlink" Target="mailto:taltier@summitpetroleuminc.com" TargetMode="External"/><Relationship Id="rId22" Type="http://schemas.openxmlformats.org/officeDocument/2006/relationships/hyperlink" Target="mailto:Ventrone.Excavating.Inc@gmail.com" TargetMode="External"/><Relationship Id="rId27" Type="http://schemas.openxmlformats.org/officeDocument/2006/relationships/hyperlink" Target="mailto:office@spanobros.com" TargetMode="External"/><Relationship Id="rId30" Type="http://schemas.openxmlformats.org/officeDocument/2006/relationships/hyperlink" Target="mailto:rebecca@infinitypaving.com" TargetMode="External"/><Relationship Id="rId35" Type="http://schemas.openxmlformats.org/officeDocument/2006/relationships/hyperlink" Target="mailto:kbscvt@aol.com" TargetMode="External"/><Relationship Id="rId43" Type="http://schemas.openxmlformats.org/officeDocument/2006/relationships/hyperlink" Target="mailto:bisirriinc1@gmail.com" TargetMode="External"/><Relationship Id="rId48" Type="http://schemas.openxmlformats.org/officeDocument/2006/relationships/hyperlink" Target="mailto:kmiap@kokosing.biz" TargetMode="External"/><Relationship Id="rId56" Type="http://schemas.openxmlformats.org/officeDocument/2006/relationships/hyperlink" Target="mailto:Bridget@hollandpaving.com" TargetMode="External"/><Relationship Id="rId8" Type="http://schemas.openxmlformats.org/officeDocument/2006/relationships/hyperlink" Target="mailto:apinfo@millerpipeline.com" TargetMode="External"/><Relationship Id="rId51" Type="http://schemas.openxmlformats.org/officeDocument/2006/relationships/hyperlink" Target="mailto:accountspayable@ruhlin.com" TargetMode="External"/><Relationship Id="rId3" Type="http://schemas.openxmlformats.org/officeDocument/2006/relationships/hyperlink" Target="mailto:mattangelotta@outlook.com%20Kaitlyn%20440-679-1436" TargetMode="External"/><Relationship Id="rId12" Type="http://schemas.openxmlformats.org/officeDocument/2006/relationships/hyperlink" Target="mailto:jessica@brooksidelandscapeconstruction.com" TargetMode="External"/><Relationship Id="rId17" Type="http://schemas.openxmlformats.org/officeDocument/2006/relationships/hyperlink" Target="mailto:ap@empirepaving.biz" TargetMode="External"/><Relationship Id="rId25" Type="http://schemas.openxmlformats.org/officeDocument/2006/relationships/hyperlink" Target="mailto:cwise@sealtechcoating.com" TargetMode="External"/><Relationship Id="rId33" Type="http://schemas.openxmlformats.org/officeDocument/2006/relationships/hyperlink" Target="mailto:invoices@wartkoconstruction.com" TargetMode="External"/><Relationship Id="rId38" Type="http://schemas.openxmlformats.org/officeDocument/2006/relationships/hyperlink" Target="mailto:denise@snavelycompany.com" TargetMode="External"/><Relationship Id="rId46" Type="http://schemas.openxmlformats.org/officeDocument/2006/relationships/hyperlink" Target="mailto:ap@cookpaving.com" TargetMode="External"/><Relationship Id="rId59" Type="http://schemas.openxmlformats.org/officeDocument/2006/relationships/hyperlink" Target="mailto:kcasale@soltisandsons.com" TargetMode="External"/><Relationship Id="rId20" Type="http://schemas.openxmlformats.org/officeDocument/2006/relationships/hyperlink" Target="mailto:billing@newvistaent.com" TargetMode="External"/><Relationship Id="rId41" Type="http://schemas.openxmlformats.org/officeDocument/2006/relationships/hyperlink" Target="mailto:officemgr@traxohio.com" TargetMode="External"/><Relationship Id="rId54" Type="http://schemas.openxmlformats.org/officeDocument/2006/relationships/hyperlink" Target="mailto:tjsmith55@hotmail.com" TargetMode="External"/><Relationship Id="rId62" Type="http://schemas.openxmlformats.org/officeDocument/2006/relationships/hyperlink" Target="mailto:spratt@middletonmechanical.com" TargetMode="External"/><Relationship Id="rId1" Type="http://schemas.openxmlformats.org/officeDocument/2006/relationships/hyperlink" Target="mailto:erutility@yahoo.com" TargetMode="External"/><Relationship Id="rId6" Type="http://schemas.openxmlformats.org/officeDocument/2006/relationships/hyperlink" Target="mailto:domenic@independencecement.com" TargetMode="External"/><Relationship Id="rId15" Type="http://schemas.openxmlformats.org/officeDocument/2006/relationships/hyperlink" Target="mailto:info@proqualitydemo.com" TargetMode="External"/><Relationship Id="rId23" Type="http://schemas.openxmlformats.org/officeDocument/2006/relationships/hyperlink" Target="mailto:ajcement@sbcglobal.net" TargetMode="External"/><Relationship Id="rId28" Type="http://schemas.openxmlformats.org/officeDocument/2006/relationships/hyperlink" Target="mailto:accounting@vallejoco.com" TargetMode="External"/><Relationship Id="rId36" Type="http://schemas.openxmlformats.org/officeDocument/2006/relationships/hyperlink" Target="mailto:accounting@ronyakpaving.com" TargetMode="External"/><Relationship Id="rId49" Type="http://schemas.openxmlformats.org/officeDocument/2006/relationships/hyperlink" Target="mailto:accounting@northcoastconcrete.com" TargetMode="External"/><Relationship Id="rId57" Type="http://schemas.openxmlformats.org/officeDocument/2006/relationships/hyperlink" Target="mailto:louise@northcoastpaving.com" TargetMode="External"/><Relationship Id="rId10" Type="http://schemas.openxmlformats.org/officeDocument/2006/relationships/hyperlink" Target="mailto:invoices@shookconstruction.com" TargetMode="External"/><Relationship Id="rId31" Type="http://schemas.openxmlformats.org/officeDocument/2006/relationships/hyperlink" Target="mailto:apmarra@marrainc.com" TargetMode="External"/><Relationship Id="rId44" Type="http://schemas.openxmlformats.org/officeDocument/2006/relationships/hyperlink" Target="mailto:Lisa@siteworxunlimited.com" TargetMode="External"/><Relationship Id="rId52" Type="http://schemas.openxmlformats.org/officeDocument/2006/relationships/hyperlink" Target="mailto:accounting@lakelandohio.com" TargetMode="External"/><Relationship Id="rId60" Type="http://schemas.openxmlformats.org/officeDocument/2006/relationships/hyperlink" Target="mailto:pfreeman@mpwcs.com" TargetMode="External"/><Relationship Id="rId4" Type="http://schemas.openxmlformats.org/officeDocument/2006/relationships/hyperlink" Target="mailto:rcronin@comrecservices.com" TargetMode="External"/><Relationship Id="rId9" Type="http://schemas.openxmlformats.org/officeDocument/2006/relationships/hyperlink" Target="mailto:Clevelandcraftsmen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4DAF-2FA4-4FBD-A994-44B0FAFEFF1D}">
  <dimension ref="A1:F185"/>
  <sheetViews>
    <sheetView workbookViewId="0">
      <selection activeCell="I180" sqref="I180"/>
    </sheetView>
  </sheetViews>
  <sheetFormatPr defaultRowHeight="15" x14ac:dyDescent="0.25"/>
  <cols>
    <col min="1" max="1" width="18.28515625" customWidth="1"/>
    <col min="2" max="2" width="47" customWidth="1"/>
    <col min="3" max="3" width="19.85546875" customWidth="1"/>
    <col min="4" max="4" width="11.85546875" customWidth="1"/>
    <col min="5" max="5" width="23.5703125" customWidth="1"/>
    <col min="6" max="6" width="2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5">
      <c r="A3" s="1" t="s">
        <v>6</v>
      </c>
      <c r="B3" s="2" t="s">
        <v>7</v>
      </c>
      <c r="C3" s="2"/>
      <c r="D3" s="2">
        <v>1</v>
      </c>
      <c r="E3" s="3"/>
      <c r="F3" s="4" t="s">
        <v>8</v>
      </c>
    </row>
    <row r="4" spans="1:6" x14ac:dyDescent="0.25">
      <c r="A4" s="1" t="s">
        <v>9</v>
      </c>
      <c r="B4" s="2" t="s">
        <v>10</v>
      </c>
      <c r="C4" s="2" t="s">
        <v>11</v>
      </c>
      <c r="D4" s="2">
        <v>5</v>
      </c>
      <c r="E4" s="3"/>
      <c r="F4" s="4"/>
    </row>
    <row r="5" spans="1:6" x14ac:dyDescent="0.25">
      <c r="A5" s="1" t="s">
        <v>12</v>
      </c>
      <c r="B5" s="2" t="s">
        <v>10</v>
      </c>
      <c r="C5" s="2"/>
      <c r="D5" s="2">
        <v>5</v>
      </c>
      <c r="E5" s="3"/>
      <c r="F5" s="4"/>
    </row>
    <row r="6" spans="1:6" x14ac:dyDescent="0.25">
      <c r="A6" s="1" t="s">
        <v>13</v>
      </c>
      <c r="B6" s="5" t="s">
        <v>10</v>
      </c>
      <c r="C6" s="2"/>
      <c r="D6" s="2">
        <v>5</v>
      </c>
      <c r="E6" s="6"/>
      <c r="F6" s="7" t="s">
        <v>14</v>
      </c>
    </row>
    <row r="7" spans="1:6" x14ac:dyDescent="0.25">
      <c r="A7" s="1" t="s">
        <v>15</v>
      </c>
      <c r="B7" s="2" t="s">
        <v>16</v>
      </c>
      <c r="C7" s="2"/>
      <c r="D7" s="2">
        <v>7</v>
      </c>
      <c r="E7" s="6" t="s">
        <v>17</v>
      </c>
      <c r="F7" s="7" t="s">
        <v>18</v>
      </c>
    </row>
    <row r="8" spans="1:6" x14ac:dyDescent="0.25">
      <c r="A8" s="1" t="s">
        <v>19</v>
      </c>
      <c r="B8" s="2" t="s">
        <v>16</v>
      </c>
      <c r="C8" s="2"/>
      <c r="D8" s="2">
        <v>7</v>
      </c>
      <c r="E8" s="3" t="s">
        <v>17</v>
      </c>
      <c r="F8" s="4"/>
    </row>
    <row r="9" spans="1:6" x14ac:dyDescent="0.25">
      <c r="A9" s="1" t="s">
        <v>20</v>
      </c>
      <c r="B9" s="2" t="s">
        <v>16</v>
      </c>
      <c r="C9" s="2"/>
      <c r="D9" s="2">
        <v>7</v>
      </c>
      <c r="E9" s="6" t="s">
        <v>17</v>
      </c>
      <c r="F9" s="7"/>
    </row>
    <row r="10" spans="1:6" x14ac:dyDescent="0.25">
      <c r="A10" s="1" t="s">
        <v>21</v>
      </c>
      <c r="B10" s="2" t="s">
        <v>16</v>
      </c>
      <c r="C10" s="2"/>
      <c r="D10" s="2">
        <v>7</v>
      </c>
      <c r="E10" s="3" t="s">
        <v>17</v>
      </c>
      <c r="F10" s="4"/>
    </row>
    <row r="11" spans="1:6" x14ac:dyDescent="0.25">
      <c r="A11" s="1" t="s">
        <v>22</v>
      </c>
      <c r="B11" s="2" t="s">
        <v>16</v>
      </c>
      <c r="C11" s="2"/>
      <c r="D11" s="2">
        <v>7</v>
      </c>
      <c r="E11" s="6" t="s">
        <v>17</v>
      </c>
      <c r="F11" s="7" t="s">
        <v>23</v>
      </c>
    </row>
    <row r="12" spans="1:6" x14ac:dyDescent="0.25">
      <c r="A12" s="1" t="s">
        <v>24</v>
      </c>
      <c r="B12" s="2" t="s">
        <v>16</v>
      </c>
      <c r="C12" s="2"/>
      <c r="D12" s="2">
        <v>7</v>
      </c>
      <c r="E12" s="3" t="s">
        <v>17</v>
      </c>
      <c r="F12" s="4"/>
    </row>
    <row r="13" spans="1:6" x14ac:dyDescent="0.25">
      <c r="A13" s="1" t="s">
        <v>25</v>
      </c>
      <c r="B13" s="2" t="s">
        <v>16</v>
      </c>
      <c r="C13" s="2"/>
      <c r="D13" s="2">
        <v>7</v>
      </c>
      <c r="E13" s="6" t="s">
        <v>17</v>
      </c>
      <c r="F13" s="7"/>
    </row>
    <row r="14" spans="1:6" x14ac:dyDescent="0.25">
      <c r="A14" s="1" t="s">
        <v>26</v>
      </c>
      <c r="B14" s="2" t="s">
        <v>16</v>
      </c>
      <c r="C14" s="2"/>
      <c r="D14" s="2">
        <v>7</v>
      </c>
      <c r="E14" s="3" t="s">
        <v>17</v>
      </c>
      <c r="F14" s="4"/>
    </row>
    <row r="15" spans="1:6" x14ac:dyDescent="0.25">
      <c r="A15" s="1" t="s">
        <v>27</v>
      </c>
      <c r="B15" s="2" t="s">
        <v>28</v>
      </c>
      <c r="C15" s="2"/>
      <c r="D15" s="2">
        <v>5</v>
      </c>
      <c r="E15" s="3"/>
      <c r="F15" s="4"/>
    </row>
    <row r="16" spans="1:6" x14ac:dyDescent="0.25">
      <c r="A16" s="1" t="s">
        <v>29</v>
      </c>
      <c r="B16" s="2" t="s">
        <v>28</v>
      </c>
      <c r="C16" s="2"/>
      <c r="D16" s="2">
        <v>5</v>
      </c>
      <c r="E16" s="6"/>
      <c r="F16" s="7" t="s">
        <v>30</v>
      </c>
    </row>
    <row r="17" spans="1:6" x14ac:dyDescent="0.25">
      <c r="A17" s="1" t="s">
        <v>31</v>
      </c>
      <c r="B17" s="2" t="s">
        <v>28</v>
      </c>
      <c r="C17" s="2"/>
      <c r="D17" s="2">
        <v>5</v>
      </c>
      <c r="E17" s="3"/>
      <c r="F17" s="4" t="s">
        <v>32</v>
      </c>
    </row>
    <row r="18" spans="1:6" x14ac:dyDescent="0.25">
      <c r="A18" s="1" t="s">
        <v>33</v>
      </c>
      <c r="B18" s="2" t="s">
        <v>34</v>
      </c>
      <c r="C18" s="2"/>
      <c r="D18" s="2">
        <v>5</v>
      </c>
      <c r="E18" s="3" t="s">
        <v>35</v>
      </c>
      <c r="F18" s="4" t="s">
        <v>36</v>
      </c>
    </row>
    <row r="19" spans="1:6" x14ac:dyDescent="0.25">
      <c r="A19" s="1" t="s">
        <v>37</v>
      </c>
      <c r="B19" s="2" t="s">
        <v>34</v>
      </c>
      <c r="C19" s="2"/>
      <c r="D19" s="2">
        <v>5</v>
      </c>
      <c r="E19" s="6" t="s">
        <v>35</v>
      </c>
      <c r="F19" s="7"/>
    </row>
    <row r="20" spans="1:6" x14ac:dyDescent="0.25">
      <c r="A20" s="1" t="s">
        <v>38</v>
      </c>
      <c r="B20" s="2" t="s">
        <v>34</v>
      </c>
      <c r="C20" s="2"/>
      <c r="D20" s="2">
        <v>5</v>
      </c>
      <c r="E20" s="3" t="s">
        <v>35</v>
      </c>
      <c r="F20" s="4" t="s">
        <v>39</v>
      </c>
    </row>
    <row r="21" spans="1:6" x14ac:dyDescent="0.25">
      <c r="A21" s="1" t="s">
        <v>40</v>
      </c>
      <c r="B21" s="2" t="s">
        <v>34</v>
      </c>
      <c r="C21" s="2"/>
      <c r="D21" s="2">
        <v>5</v>
      </c>
      <c r="E21" s="6" t="s">
        <v>35</v>
      </c>
      <c r="F21" s="7" t="s">
        <v>41</v>
      </c>
    </row>
    <row r="22" spans="1:6" x14ac:dyDescent="0.25">
      <c r="A22" s="1" t="s">
        <v>42</v>
      </c>
      <c r="B22" s="2" t="s">
        <v>34</v>
      </c>
      <c r="C22" s="2" t="s">
        <v>43</v>
      </c>
      <c r="D22" s="2">
        <v>5</v>
      </c>
      <c r="E22" s="3" t="s">
        <v>35</v>
      </c>
      <c r="F22" s="4" t="s">
        <v>44</v>
      </c>
    </row>
    <row r="23" spans="1:6" x14ac:dyDescent="0.25">
      <c r="A23" s="1" t="s">
        <v>45</v>
      </c>
      <c r="B23" s="2" t="s">
        <v>34</v>
      </c>
      <c r="C23" s="2"/>
      <c r="D23" s="2">
        <v>5</v>
      </c>
      <c r="E23" s="6" t="s">
        <v>35</v>
      </c>
      <c r="F23" s="7"/>
    </row>
    <row r="24" spans="1:6" x14ac:dyDescent="0.25">
      <c r="A24" s="1" t="s">
        <v>46</v>
      </c>
      <c r="B24" s="2" t="s">
        <v>34</v>
      </c>
      <c r="C24" s="2"/>
      <c r="D24" s="2">
        <v>5</v>
      </c>
      <c r="E24" s="3" t="s">
        <v>35</v>
      </c>
      <c r="F24" s="4" t="s">
        <v>47</v>
      </c>
    </row>
    <row r="25" spans="1:6" x14ac:dyDescent="0.25">
      <c r="A25" s="1" t="s">
        <v>48</v>
      </c>
      <c r="B25" s="2" t="s">
        <v>34</v>
      </c>
      <c r="C25" s="2" t="s">
        <v>49</v>
      </c>
      <c r="D25" s="2">
        <v>5</v>
      </c>
      <c r="E25" s="6" t="s">
        <v>35</v>
      </c>
      <c r="F25" s="7" t="s">
        <v>50</v>
      </c>
    </row>
    <row r="26" spans="1:6" x14ac:dyDescent="0.25">
      <c r="A26" s="1" t="s">
        <v>51</v>
      </c>
      <c r="B26" s="2" t="s">
        <v>52</v>
      </c>
      <c r="C26" s="2"/>
      <c r="D26" s="2">
        <v>1</v>
      </c>
      <c r="E26" s="3" t="s">
        <v>53</v>
      </c>
      <c r="F26" s="4" t="s">
        <v>54</v>
      </c>
    </row>
    <row r="27" spans="1:6" x14ac:dyDescent="0.25">
      <c r="A27" s="1" t="s">
        <v>55</v>
      </c>
      <c r="B27" s="2" t="s">
        <v>52</v>
      </c>
      <c r="C27" s="2"/>
      <c r="D27" s="2">
        <v>1</v>
      </c>
      <c r="E27" s="6" t="s">
        <v>53</v>
      </c>
      <c r="F27" s="7" t="s">
        <v>56</v>
      </c>
    </row>
    <row r="28" spans="1:6" x14ac:dyDescent="0.25">
      <c r="A28" s="1" t="s">
        <v>57</v>
      </c>
      <c r="B28" s="2" t="s">
        <v>52</v>
      </c>
      <c r="C28" s="2"/>
      <c r="D28" s="2">
        <v>2</v>
      </c>
      <c r="E28" s="3" t="s">
        <v>53</v>
      </c>
      <c r="F28" s="4" t="s">
        <v>58</v>
      </c>
    </row>
    <row r="29" spans="1:6" x14ac:dyDescent="0.25">
      <c r="A29" s="1" t="s">
        <v>59</v>
      </c>
      <c r="B29" s="5" t="s">
        <v>60</v>
      </c>
      <c r="C29" s="2"/>
      <c r="D29" s="2">
        <v>3</v>
      </c>
      <c r="E29" s="3"/>
      <c r="F29" s="4" t="s">
        <v>61</v>
      </c>
    </row>
    <row r="30" spans="1:6" x14ac:dyDescent="0.25">
      <c r="A30" s="1" t="s">
        <v>62</v>
      </c>
      <c r="B30" s="5" t="s">
        <v>60</v>
      </c>
      <c r="C30" s="2"/>
      <c r="D30" s="2">
        <v>5</v>
      </c>
      <c r="E30" s="6"/>
      <c r="F30" s="7"/>
    </row>
    <row r="31" spans="1:6" x14ac:dyDescent="0.25">
      <c r="A31" s="1" t="s">
        <v>63</v>
      </c>
      <c r="B31" s="5" t="s">
        <v>60</v>
      </c>
      <c r="C31" s="2"/>
      <c r="D31" s="2">
        <v>5</v>
      </c>
      <c r="E31" s="3"/>
      <c r="F31" s="4" t="s">
        <v>64</v>
      </c>
    </row>
    <row r="32" spans="1:6" x14ac:dyDescent="0.25">
      <c r="A32" s="1" t="s">
        <v>65</v>
      </c>
      <c r="B32" s="5" t="s">
        <v>60</v>
      </c>
      <c r="C32" s="2"/>
      <c r="D32" s="2">
        <v>7</v>
      </c>
      <c r="E32" s="6"/>
      <c r="F32" s="7" t="s">
        <v>66</v>
      </c>
    </row>
    <row r="33" spans="1:6" x14ac:dyDescent="0.25">
      <c r="A33" s="1" t="s">
        <v>67</v>
      </c>
      <c r="B33" s="2" t="s">
        <v>68</v>
      </c>
      <c r="C33" s="2"/>
      <c r="D33" s="2">
        <v>5</v>
      </c>
      <c r="E33" s="6" t="s">
        <v>69</v>
      </c>
      <c r="F33" s="7" t="s">
        <v>70</v>
      </c>
    </row>
    <row r="34" spans="1:6" x14ac:dyDescent="0.25">
      <c r="A34" s="1" t="s">
        <v>71</v>
      </c>
      <c r="B34" s="2" t="s">
        <v>68</v>
      </c>
      <c r="C34" s="2"/>
      <c r="D34" s="2">
        <v>5</v>
      </c>
      <c r="E34" s="3" t="s">
        <v>69</v>
      </c>
      <c r="F34" s="4" t="s">
        <v>72</v>
      </c>
    </row>
    <row r="35" spans="1:6" x14ac:dyDescent="0.25">
      <c r="A35" s="1" t="s">
        <v>73</v>
      </c>
      <c r="B35" s="2" t="s">
        <v>68</v>
      </c>
      <c r="C35" s="2"/>
      <c r="D35" s="2">
        <v>5</v>
      </c>
      <c r="E35" s="6" t="s">
        <v>69</v>
      </c>
      <c r="F35" s="7" t="s">
        <v>74</v>
      </c>
    </row>
    <row r="36" spans="1:6" x14ac:dyDescent="0.25">
      <c r="A36" s="1" t="s">
        <v>75</v>
      </c>
      <c r="B36" s="2" t="s">
        <v>76</v>
      </c>
      <c r="C36" s="2"/>
      <c r="D36" s="2">
        <v>5</v>
      </c>
      <c r="E36" s="6" t="s">
        <v>77</v>
      </c>
      <c r="F36" s="7" t="s">
        <v>78</v>
      </c>
    </row>
    <row r="37" spans="1:6" x14ac:dyDescent="0.25">
      <c r="A37" s="1" t="s">
        <v>79</v>
      </c>
      <c r="B37" s="2" t="s">
        <v>76</v>
      </c>
      <c r="C37" s="2"/>
      <c r="D37" s="2">
        <v>5</v>
      </c>
      <c r="E37" s="3" t="s">
        <v>77</v>
      </c>
      <c r="F37" s="4" t="s">
        <v>80</v>
      </c>
    </row>
    <row r="38" spans="1:6" x14ac:dyDescent="0.25">
      <c r="A38" s="1" t="s">
        <v>81</v>
      </c>
      <c r="B38" s="2" t="s">
        <v>76</v>
      </c>
      <c r="C38" s="2"/>
      <c r="D38" s="2">
        <v>5</v>
      </c>
      <c r="E38" s="6" t="s">
        <v>77</v>
      </c>
      <c r="F38" s="7" t="s">
        <v>82</v>
      </c>
    </row>
    <row r="39" spans="1:6" x14ac:dyDescent="0.25">
      <c r="A39" s="1" t="s">
        <v>83</v>
      </c>
      <c r="B39" s="2" t="s">
        <v>76</v>
      </c>
      <c r="C39" s="2"/>
      <c r="D39" s="2">
        <v>5</v>
      </c>
      <c r="E39" s="3" t="s">
        <v>77</v>
      </c>
      <c r="F39" s="4" t="s">
        <v>84</v>
      </c>
    </row>
    <row r="40" spans="1:6" x14ac:dyDescent="0.25">
      <c r="A40" s="1" t="s">
        <v>85</v>
      </c>
      <c r="B40" s="2" t="s">
        <v>76</v>
      </c>
      <c r="C40" s="2"/>
      <c r="D40" s="2">
        <v>5</v>
      </c>
      <c r="E40" s="6" t="s">
        <v>77</v>
      </c>
      <c r="F40" s="7" t="s">
        <v>86</v>
      </c>
    </row>
    <row r="41" spans="1:6" x14ac:dyDescent="0.25">
      <c r="A41" s="1" t="s">
        <v>87</v>
      </c>
      <c r="B41" s="2" t="s">
        <v>76</v>
      </c>
      <c r="C41" s="2"/>
      <c r="D41" s="2">
        <v>5</v>
      </c>
      <c r="E41" s="3" t="s">
        <v>77</v>
      </c>
      <c r="F41" s="4" t="s">
        <v>88</v>
      </c>
    </row>
    <row r="42" spans="1:6" x14ac:dyDescent="0.25">
      <c r="A42" s="1" t="s">
        <v>89</v>
      </c>
      <c r="B42" s="2" t="s">
        <v>76</v>
      </c>
      <c r="C42" s="2"/>
      <c r="D42" s="2">
        <v>5</v>
      </c>
      <c r="E42" s="6" t="s">
        <v>77</v>
      </c>
      <c r="F42" s="7"/>
    </row>
    <row r="43" spans="1:6" x14ac:dyDescent="0.25">
      <c r="A43" s="1" t="s">
        <v>90</v>
      </c>
      <c r="B43" s="2" t="s">
        <v>91</v>
      </c>
      <c r="C43" s="2"/>
      <c r="D43" s="2">
        <v>5</v>
      </c>
      <c r="E43" s="3"/>
      <c r="F43" s="4" t="s">
        <v>92</v>
      </c>
    </row>
    <row r="44" spans="1:6" x14ac:dyDescent="0.25">
      <c r="A44" s="1" t="s">
        <v>93</v>
      </c>
      <c r="B44" s="2" t="s">
        <v>91</v>
      </c>
      <c r="C44" s="2"/>
      <c r="D44" s="2">
        <v>5</v>
      </c>
      <c r="E44" s="6"/>
      <c r="F44" s="7" t="s">
        <v>94</v>
      </c>
    </row>
    <row r="45" spans="1:6" x14ac:dyDescent="0.25">
      <c r="A45" s="1" t="s">
        <v>95</v>
      </c>
      <c r="B45" s="2" t="s">
        <v>91</v>
      </c>
      <c r="C45" s="2"/>
      <c r="D45" s="2">
        <v>5</v>
      </c>
      <c r="E45" s="3"/>
      <c r="F45" s="4" t="s">
        <v>96</v>
      </c>
    </row>
    <row r="46" spans="1:6" x14ac:dyDescent="0.25">
      <c r="A46" s="1" t="s">
        <v>97</v>
      </c>
      <c r="B46" s="2" t="s">
        <v>91</v>
      </c>
      <c r="C46" s="2"/>
      <c r="D46" s="2">
        <v>5</v>
      </c>
      <c r="E46" s="6"/>
      <c r="F46" s="7" t="s">
        <v>32</v>
      </c>
    </row>
    <row r="47" spans="1:6" x14ac:dyDescent="0.25">
      <c r="A47" s="1" t="s">
        <v>98</v>
      </c>
      <c r="B47" s="2" t="s">
        <v>91</v>
      </c>
      <c r="C47" s="2"/>
      <c r="D47" s="2">
        <v>5</v>
      </c>
      <c r="E47" s="3"/>
      <c r="F47" s="4" t="s">
        <v>32</v>
      </c>
    </row>
    <row r="48" spans="1:6" x14ac:dyDescent="0.25">
      <c r="A48" s="1" t="s">
        <v>99</v>
      </c>
      <c r="B48" s="2" t="s">
        <v>91</v>
      </c>
      <c r="C48" s="2"/>
      <c r="D48" s="2">
        <v>5</v>
      </c>
      <c r="E48" s="6"/>
      <c r="F48" s="7" t="s">
        <v>32</v>
      </c>
    </row>
    <row r="49" spans="1:6" x14ac:dyDescent="0.25">
      <c r="A49" s="1" t="s">
        <v>100</v>
      </c>
      <c r="B49" s="2" t="s">
        <v>91</v>
      </c>
      <c r="C49" s="2"/>
      <c r="D49" s="2">
        <v>5</v>
      </c>
      <c r="E49" s="3"/>
      <c r="F49" s="4" t="s">
        <v>32</v>
      </c>
    </row>
    <row r="50" spans="1:6" x14ac:dyDescent="0.25">
      <c r="A50" s="1" t="s">
        <v>101</v>
      </c>
      <c r="B50" s="2" t="s">
        <v>102</v>
      </c>
      <c r="C50" s="2"/>
      <c r="D50" s="2">
        <v>5</v>
      </c>
      <c r="E50" s="8" t="s">
        <v>103</v>
      </c>
      <c r="F50" s="9"/>
    </row>
    <row r="51" spans="1:6" x14ac:dyDescent="0.25">
      <c r="A51" s="1" t="s">
        <v>104</v>
      </c>
      <c r="B51" s="2" t="s">
        <v>102</v>
      </c>
      <c r="C51" s="2"/>
      <c r="D51" s="2">
        <v>5</v>
      </c>
      <c r="E51" s="10" t="s">
        <v>103</v>
      </c>
      <c r="F51" s="11" t="s">
        <v>105</v>
      </c>
    </row>
    <row r="52" spans="1:6" x14ac:dyDescent="0.25">
      <c r="A52" s="1" t="s">
        <v>106</v>
      </c>
      <c r="B52" s="2" t="s">
        <v>102</v>
      </c>
      <c r="C52" s="2"/>
      <c r="D52" s="2">
        <v>5</v>
      </c>
      <c r="E52" s="8" t="s">
        <v>103</v>
      </c>
      <c r="F52" s="9" t="s">
        <v>107</v>
      </c>
    </row>
    <row r="53" spans="1:6" x14ac:dyDescent="0.25">
      <c r="A53" s="1" t="s">
        <v>108</v>
      </c>
      <c r="B53" s="2" t="s">
        <v>102</v>
      </c>
      <c r="C53" s="2"/>
      <c r="D53" s="2">
        <v>5</v>
      </c>
      <c r="E53" s="10" t="s">
        <v>103</v>
      </c>
      <c r="F53" s="11" t="s">
        <v>109</v>
      </c>
    </row>
    <row r="54" spans="1:6" x14ac:dyDescent="0.25">
      <c r="A54" s="1" t="s">
        <v>110</v>
      </c>
      <c r="B54" s="2" t="s">
        <v>102</v>
      </c>
      <c r="C54" s="2"/>
      <c r="D54" s="2">
        <v>5</v>
      </c>
      <c r="E54" s="8" t="s">
        <v>103</v>
      </c>
      <c r="F54" s="9"/>
    </row>
    <row r="55" spans="1:6" x14ac:dyDescent="0.25">
      <c r="A55" s="1" t="s">
        <v>111</v>
      </c>
      <c r="B55" s="2" t="s">
        <v>102</v>
      </c>
      <c r="C55" s="2"/>
      <c r="D55" s="2">
        <v>5</v>
      </c>
      <c r="E55" s="10" t="s">
        <v>103</v>
      </c>
      <c r="F55" s="11" t="s">
        <v>112</v>
      </c>
    </row>
    <row r="56" spans="1:6" x14ac:dyDescent="0.25">
      <c r="A56" s="1" t="s">
        <v>113</v>
      </c>
      <c r="B56" s="2" t="s">
        <v>102</v>
      </c>
      <c r="C56" s="2"/>
      <c r="D56" s="2">
        <v>5</v>
      </c>
      <c r="E56" s="8" t="s">
        <v>103</v>
      </c>
      <c r="F56" s="9"/>
    </row>
    <row r="57" spans="1:6" x14ac:dyDescent="0.25">
      <c r="A57" s="1" t="s">
        <v>114</v>
      </c>
      <c r="B57" s="2" t="s">
        <v>102</v>
      </c>
      <c r="C57" s="2"/>
      <c r="D57" s="2">
        <v>5</v>
      </c>
      <c r="E57" s="10" t="s">
        <v>103</v>
      </c>
      <c r="F57" s="11" t="s">
        <v>115</v>
      </c>
    </row>
    <row r="58" spans="1:6" x14ac:dyDescent="0.25">
      <c r="A58" s="1" t="s">
        <v>116</v>
      </c>
      <c r="B58" s="2" t="s">
        <v>102</v>
      </c>
      <c r="C58" s="2"/>
      <c r="D58" s="2">
        <v>5</v>
      </c>
      <c r="E58" s="8" t="s">
        <v>103</v>
      </c>
      <c r="F58" s="9" t="s">
        <v>117</v>
      </c>
    </row>
    <row r="59" spans="1:6" x14ac:dyDescent="0.25">
      <c r="A59" s="1" t="s">
        <v>118</v>
      </c>
      <c r="B59" s="2" t="s">
        <v>102</v>
      </c>
      <c r="C59" s="2"/>
      <c r="D59" s="2">
        <v>5</v>
      </c>
      <c r="E59" s="10" t="s">
        <v>103</v>
      </c>
      <c r="F59" s="11" t="s">
        <v>119</v>
      </c>
    </row>
    <row r="60" spans="1:6" x14ac:dyDescent="0.25">
      <c r="A60" s="1" t="s">
        <v>120</v>
      </c>
      <c r="B60" s="2" t="s">
        <v>102</v>
      </c>
      <c r="C60" s="2"/>
      <c r="D60" s="2">
        <v>5</v>
      </c>
      <c r="E60" s="8" t="s">
        <v>103</v>
      </c>
      <c r="F60" s="9" t="s">
        <v>121</v>
      </c>
    </row>
    <row r="61" spans="1:6" x14ac:dyDescent="0.25">
      <c r="A61" s="1" t="s">
        <v>122</v>
      </c>
      <c r="B61" s="2" t="s">
        <v>123</v>
      </c>
      <c r="C61" s="2" t="s">
        <v>124</v>
      </c>
      <c r="D61" s="2">
        <v>8</v>
      </c>
      <c r="E61" s="12" t="s">
        <v>125</v>
      </c>
      <c r="F61" s="4" t="s">
        <v>126</v>
      </c>
    </row>
    <row r="62" spans="1:6" x14ac:dyDescent="0.25">
      <c r="A62" s="1" t="s">
        <v>127</v>
      </c>
      <c r="B62" s="5" t="s">
        <v>123</v>
      </c>
      <c r="C62" s="2" t="s">
        <v>124</v>
      </c>
      <c r="D62" s="2">
        <v>8</v>
      </c>
      <c r="E62" s="12" t="s">
        <v>125</v>
      </c>
      <c r="F62" s="7" t="s">
        <v>128</v>
      </c>
    </row>
    <row r="63" spans="1:6" x14ac:dyDescent="0.25">
      <c r="A63" s="1" t="s">
        <v>129</v>
      </c>
      <c r="B63" s="5" t="s">
        <v>123</v>
      </c>
      <c r="C63" s="2" t="s">
        <v>124</v>
      </c>
      <c r="D63" s="2">
        <v>8</v>
      </c>
      <c r="E63" s="12" t="s">
        <v>125</v>
      </c>
      <c r="F63" s="4" t="s">
        <v>130</v>
      </c>
    </row>
    <row r="64" spans="1:6" x14ac:dyDescent="0.25">
      <c r="A64" s="1" t="s">
        <v>131</v>
      </c>
      <c r="B64" s="2" t="s">
        <v>123</v>
      </c>
      <c r="C64" s="2" t="s">
        <v>124</v>
      </c>
      <c r="D64" s="2">
        <v>8</v>
      </c>
      <c r="E64" s="12" t="s">
        <v>125</v>
      </c>
      <c r="F64" s="7"/>
    </row>
    <row r="65" spans="1:6" x14ac:dyDescent="0.25">
      <c r="A65" s="1" t="s">
        <v>132</v>
      </c>
      <c r="B65" s="2" t="s">
        <v>123</v>
      </c>
      <c r="C65" s="2" t="s">
        <v>124</v>
      </c>
      <c r="D65" s="2">
        <v>8</v>
      </c>
      <c r="E65" s="12" t="s">
        <v>125</v>
      </c>
      <c r="F65" s="4" t="s">
        <v>133</v>
      </c>
    </row>
    <row r="66" spans="1:6" x14ac:dyDescent="0.25">
      <c r="A66" s="1" t="s">
        <v>134</v>
      </c>
      <c r="B66" s="2" t="s">
        <v>123</v>
      </c>
      <c r="C66" s="2" t="s">
        <v>124</v>
      </c>
      <c r="D66" s="2">
        <v>8</v>
      </c>
      <c r="E66" s="12" t="s">
        <v>125</v>
      </c>
      <c r="F66" s="7"/>
    </row>
    <row r="67" spans="1:6" x14ac:dyDescent="0.25">
      <c r="A67" s="1" t="s">
        <v>135</v>
      </c>
      <c r="B67" s="2" t="s">
        <v>123</v>
      </c>
      <c r="C67" s="2" t="s">
        <v>124</v>
      </c>
      <c r="D67" s="2">
        <v>8</v>
      </c>
      <c r="E67" s="12" t="s">
        <v>125</v>
      </c>
      <c r="F67" s="4"/>
    </row>
    <row r="68" spans="1:6" x14ac:dyDescent="0.25">
      <c r="A68" s="1" t="s">
        <v>136</v>
      </c>
      <c r="B68" s="2" t="s">
        <v>123</v>
      </c>
      <c r="C68" s="2" t="s">
        <v>124</v>
      </c>
      <c r="D68" s="2">
        <v>8</v>
      </c>
      <c r="E68" s="12" t="s">
        <v>125</v>
      </c>
      <c r="F68" s="7"/>
    </row>
    <row r="69" spans="1:6" x14ac:dyDescent="0.25">
      <c r="A69" s="1" t="s">
        <v>137</v>
      </c>
      <c r="B69" s="5" t="s">
        <v>123</v>
      </c>
      <c r="C69" s="2"/>
      <c r="D69" s="2">
        <v>5</v>
      </c>
      <c r="E69" s="3" t="s">
        <v>125</v>
      </c>
      <c r="F69" s="4" t="s">
        <v>138</v>
      </c>
    </row>
    <row r="70" spans="1:6" x14ac:dyDescent="0.25">
      <c r="A70" s="1" t="s">
        <v>139</v>
      </c>
      <c r="B70" s="2" t="s">
        <v>123</v>
      </c>
      <c r="C70" s="2"/>
      <c r="D70" s="2">
        <v>3</v>
      </c>
      <c r="E70" s="12" t="s">
        <v>125</v>
      </c>
      <c r="F70" s="7" t="s">
        <v>140</v>
      </c>
    </row>
    <row r="71" spans="1:6" x14ac:dyDescent="0.25">
      <c r="A71" s="1" t="s">
        <v>141</v>
      </c>
      <c r="B71" s="5" t="s">
        <v>123</v>
      </c>
      <c r="C71" s="2"/>
      <c r="D71" s="2">
        <v>3</v>
      </c>
      <c r="E71" s="3" t="s">
        <v>125</v>
      </c>
      <c r="F71" s="4" t="s">
        <v>142</v>
      </c>
    </row>
    <row r="72" spans="1:6" x14ac:dyDescent="0.25">
      <c r="A72" s="1" t="s">
        <v>143</v>
      </c>
      <c r="B72" s="2" t="s">
        <v>123</v>
      </c>
      <c r="C72" s="2" t="s">
        <v>124</v>
      </c>
      <c r="D72" s="2">
        <v>8</v>
      </c>
      <c r="E72" s="12" t="s">
        <v>125</v>
      </c>
      <c r="F72" s="7"/>
    </row>
    <row r="73" spans="1:6" x14ac:dyDescent="0.25">
      <c r="A73" s="1" t="s">
        <v>144</v>
      </c>
      <c r="B73" s="5" t="s">
        <v>123</v>
      </c>
      <c r="C73" s="2" t="s">
        <v>124</v>
      </c>
      <c r="D73" s="2">
        <v>8</v>
      </c>
      <c r="E73" s="12" t="s">
        <v>125</v>
      </c>
      <c r="F73" s="4" t="s">
        <v>145</v>
      </c>
    </row>
    <row r="74" spans="1:6" x14ac:dyDescent="0.25">
      <c r="A74" s="1" t="s">
        <v>146</v>
      </c>
      <c r="B74" s="5" t="s">
        <v>123</v>
      </c>
      <c r="C74" s="2" t="s">
        <v>124</v>
      </c>
      <c r="D74" s="2">
        <v>8</v>
      </c>
      <c r="E74" s="6"/>
      <c r="F74" s="7" t="s">
        <v>147</v>
      </c>
    </row>
    <row r="75" spans="1:6" x14ac:dyDescent="0.25">
      <c r="A75" s="1" t="s">
        <v>148</v>
      </c>
      <c r="B75" s="2" t="s">
        <v>149</v>
      </c>
      <c r="C75" s="2"/>
      <c r="D75" s="2">
        <v>8</v>
      </c>
      <c r="E75" s="3"/>
      <c r="F75" s="4" t="s">
        <v>150</v>
      </c>
    </row>
    <row r="76" spans="1:6" x14ac:dyDescent="0.25">
      <c r="A76" s="1" t="s">
        <v>151</v>
      </c>
      <c r="B76" s="2" t="s">
        <v>152</v>
      </c>
      <c r="C76" s="2" t="s">
        <v>153</v>
      </c>
      <c r="D76" s="2">
        <v>5</v>
      </c>
      <c r="E76" s="6"/>
      <c r="F76" s="7" t="s">
        <v>154</v>
      </c>
    </row>
    <row r="77" spans="1:6" x14ac:dyDescent="0.25">
      <c r="A77" s="1" t="s">
        <v>155</v>
      </c>
      <c r="B77" s="2" t="s">
        <v>152</v>
      </c>
      <c r="C77" s="2" t="s">
        <v>156</v>
      </c>
      <c r="D77" s="2">
        <v>5</v>
      </c>
      <c r="E77" s="3"/>
      <c r="F77" s="4" t="s">
        <v>157</v>
      </c>
    </row>
    <row r="78" spans="1:6" x14ac:dyDescent="0.25">
      <c r="A78" s="1" t="s">
        <v>158</v>
      </c>
      <c r="B78" s="2" t="s">
        <v>159</v>
      </c>
      <c r="C78" s="2" t="s">
        <v>160</v>
      </c>
      <c r="D78" s="2">
        <v>5</v>
      </c>
      <c r="E78" s="3" t="s">
        <v>161</v>
      </c>
      <c r="F78" s="4" t="s">
        <v>162</v>
      </c>
    </row>
    <row r="79" spans="1:6" x14ac:dyDescent="0.25">
      <c r="A79" s="1" t="s">
        <v>163</v>
      </c>
      <c r="B79" s="2" t="s">
        <v>159</v>
      </c>
      <c r="C79" s="2"/>
      <c r="D79" s="2">
        <v>5</v>
      </c>
      <c r="E79" s="6" t="s">
        <v>161</v>
      </c>
      <c r="F79" s="7" t="s">
        <v>164</v>
      </c>
    </row>
    <row r="80" spans="1:6" x14ac:dyDescent="0.25">
      <c r="A80" s="1" t="s">
        <v>165</v>
      </c>
      <c r="B80" s="2" t="s">
        <v>166</v>
      </c>
      <c r="C80" s="2"/>
      <c r="D80" s="2">
        <v>5</v>
      </c>
      <c r="E80" s="6"/>
      <c r="F80" s="7"/>
    </row>
    <row r="81" spans="1:6" x14ac:dyDescent="0.25">
      <c r="A81" s="1" t="s">
        <v>167</v>
      </c>
      <c r="B81" s="2" t="s">
        <v>166</v>
      </c>
      <c r="C81" s="2"/>
      <c r="D81" s="2">
        <v>5</v>
      </c>
      <c r="E81" s="3"/>
      <c r="F81" s="4" t="s">
        <v>168</v>
      </c>
    </row>
    <row r="82" spans="1:6" x14ac:dyDescent="0.25">
      <c r="A82" s="1" t="s">
        <v>169</v>
      </c>
      <c r="B82" s="2" t="s">
        <v>166</v>
      </c>
      <c r="C82" s="2"/>
      <c r="D82" s="2">
        <v>5</v>
      </c>
      <c r="E82" s="6"/>
      <c r="F82" s="7" t="s">
        <v>170</v>
      </c>
    </row>
    <row r="83" spans="1:6" x14ac:dyDescent="0.25">
      <c r="A83" s="1" t="s">
        <v>171</v>
      </c>
      <c r="B83" s="2" t="s">
        <v>166</v>
      </c>
      <c r="C83" s="2"/>
      <c r="D83" s="2">
        <v>5</v>
      </c>
      <c r="E83" s="3"/>
      <c r="F83" s="4" t="s">
        <v>172</v>
      </c>
    </row>
    <row r="84" spans="1:6" x14ac:dyDescent="0.25">
      <c r="A84" s="1" t="s">
        <v>173</v>
      </c>
      <c r="B84" s="2" t="s">
        <v>166</v>
      </c>
      <c r="C84" s="2"/>
      <c r="D84" s="2">
        <v>5</v>
      </c>
      <c r="E84" s="6"/>
      <c r="F84" s="7" t="s">
        <v>174</v>
      </c>
    </row>
    <row r="85" spans="1:6" x14ac:dyDescent="0.25">
      <c r="A85" s="1" t="s">
        <v>175</v>
      </c>
      <c r="B85" s="2" t="s">
        <v>166</v>
      </c>
      <c r="C85" s="2"/>
      <c r="D85" s="2">
        <v>5</v>
      </c>
      <c r="E85" s="3"/>
      <c r="F85" s="4"/>
    </row>
    <row r="86" spans="1:6" x14ac:dyDescent="0.25">
      <c r="A86" s="1" t="s">
        <v>176</v>
      </c>
      <c r="B86" s="2" t="s">
        <v>177</v>
      </c>
      <c r="C86" s="2"/>
      <c r="D86" s="2">
        <v>5</v>
      </c>
      <c r="E86" s="6"/>
      <c r="F86" s="7" t="s">
        <v>32</v>
      </c>
    </row>
    <row r="87" spans="1:6" x14ac:dyDescent="0.25">
      <c r="A87" s="1" t="s">
        <v>178</v>
      </c>
      <c r="B87" s="2" t="s">
        <v>177</v>
      </c>
      <c r="C87" s="2"/>
      <c r="D87" s="2">
        <v>5</v>
      </c>
      <c r="E87" s="3"/>
      <c r="F87" s="4" t="s">
        <v>32</v>
      </c>
    </row>
    <row r="88" spans="1:6" x14ac:dyDescent="0.25">
      <c r="A88" s="1" t="s">
        <v>179</v>
      </c>
      <c r="B88" s="2" t="s">
        <v>177</v>
      </c>
      <c r="C88" s="2"/>
      <c r="D88" s="2">
        <v>5</v>
      </c>
      <c r="E88" s="6"/>
      <c r="F88" s="7" t="s">
        <v>32</v>
      </c>
    </row>
    <row r="89" spans="1:6" x14ac:dyDescent="0.25">
      <c r="A89" s="1" t="s">
        <v>180</v>
      </c>
      <c r="B89" s="2" t="s">
        <v>181</v>
      </c>
      <c r="C89" s="2"/>
      <c r="D89" s="2">
        <v>5</v>
      </c>
      <c r="E89" s="6"/>
      <c r="F89" s="7" t="s">
        <v>182</v>
      </c>
    </row>
    <row r="90" spans="1:6" x14ac:dyDescent="0.25">
      <c r="A90" s="1" t="s">
        <v>183</v>
      </c>
      <c r="B90" s="2" t="s">
        <v>181</v>
      </c>
      <c r="C90" s="2"/>
      <c r="D90" s="2">
        <v>5</v>
      </c>
      <c r="E90" s="3"/>
      <c r="F90" s="4" t="s">
        <v>184</v>
      </c>
    </row>
    <row r="91" spans="1:6" x14ac:dyDescent="0.25">
      <c r="A91" s="1" t="s">
        <v>185</v>
      </c>
      <c r="B91" s="2" t="s">
        <v>186</v>
      </c>
      <c r="C91" s="2"/>
      <c r="D91" s="2">
        <v>5</v>
      </c>
      <c r="E91" s="6"/>
      <c r="F91" s="7"/>
    </row>
    <row r="92" spans="1:6" x14ac:dyDescent="0.25">
      <c r="A92" s="1" t="s">
        <v>187</v>
      </c>
      <c r="B92" s="2" t="s">
        <v>186</v>
      </c>
      <c r="C92" s="2"/>
      <c r="D92" s="2">
        <v>5</v>
      </c>
      <c r="E92" s="3"/>
      <c r="F92" s="4"/>
    </row>
    <row r="93" spans="1:6" x14ac:dyDescent="0.25">
      <c r="A93" s="1" t="s">
        <v>188</v>
      </c>
      <c r="B93" s="2" t="s">
        <v>186</v>
      </c>
      <c r="C93" s="2"/>
      <c r="D93" s="2">
        <v>5</v>
      </c>
      <c r="E93" s="6"/>
      <c r="F93" s="7" t="s">
        <v>189</v>
      </c>
    </row>
    <row r="94" spans="1:6" x14ac:dyDescent="0.25">
      <c r="A94" s="1" t="s">
        <v>190</v>
      </c>
      <c r="B94" s="2" t="s">
        <v>186</v>
      </c>
      <c r="C94" s="2"/>
      <c r="D94" s="2">
        <v>5</v>
      </c>
      <c r="E94" s="3"/>
      <c r="F94" s="4" t="s">
        <v>191</v>
      </c>
    </row>
    <row r="95" spans="1:6" x14ac:dyDescent="0.25">
      <c r="A95" s="1" t="s">
        <v>192</v>
      </c>
      <c r="B95" s="2" t="s">
        <v>186</v>
      </c>
      <c r="C95" s="2"/>
      <c r="D95" s="2">
        <v>5</v>
      </c>
      <c r="E95" s="6"/>
      <c r="F95" s="7" t="s">
        <v>193</v>
      </c>
    </row>
    <row r="96" spans="1:6" x14ac:dyDescent="0.25">
      <c r="A96" s="1" t="s">
        <v>194</v>
      </c>
      <c r="B96" s="2" t="s">
        <v>186</v>
      </c>
      <c r="C96" s="2"/>
      <c r="D96" s="2">
        <v>5</v>
      </c>
      <c r="E96" s="3"/>
      <c r="F96" s="4" t="s">
        <v>32</v>
      </c>
    </row>
    <row r="97" spans="1:6" x14ac:dyDescent="0.25">
      <c r="A97" s="1" t="s">
        <v>195</v>
      </c>
      <c r="B97" s="2" t="s">
        <v>186</v>
      </c>
      <c r="C97" s="2"/>
      <c r="D97" s="2">
        <v>5</v>
      </c>
      <c r="E97" s="6"/>
      <c r="F97" s="7" t="s">
        <v>196</v>
      </c>
    </row>
    <row r="98" spans="1:6" x14ac:dyDescent="0.25">
      <c r="A98" s="1" t="s">
        <v>197</v>
      </c>
      <c r="B98" s="2" t="s">
        <v>198</v>
      </c>
      <c r="C98" s="2"/>
      <c r="D98" s="2">
        <v>7</v>
      </c>
      <c r="E98" s="6" t="s">
        <v>199</v>
      </c>
      <c r="F98" s="7" t="s">
        <v>200</v>
      </c>
    </row>
    <row r="99" spans="1:6" x14ac:dyDescent="0.25">
      <c r="A99" s="1" t="s">
        <v>201</v>
      </c>
      <c r="B99" s="2" t="s">
        <v>202</v>
      </c>
      <c r="C99" s="2"/>
      <c r="D99" s="2">
        <v>5</v>
      </c>
      <c r="E99" s="6"/>
      <c r="F99" s="7" t="s">
        <v>32</v>
      </c>
    </row>
    <row r="100" spans="1:6" x14ac:dyDescent="0.25">
      <c r="A100" s="1" t="s">
        <v>203</v>
      </c>
      <c r="B100" s="2" t="s">
        <v>202</v>
      </c>
      <c r="C100" s="2"/>
      <c r="D100" s="2">
        <v>5</v>
      </c>
      <c r="E100" s="3"/>
      <c r="F100" s="4"/>
    </row>
    <row r="101" spans="1:6" x14ac:dyDescent="0.25">
      <c r="A101" s="1" t="s">
        <v>204</v>
      </c>
      <c r="B101" s="5" t="s">
        <v>205</v>
      </c>
      <c r="C101" s="2"/>
      <c r="D101" s="2">
        <v>5</v>
      </c>
      <c r="E101" s="3"/>
      <c r="F101" s="4" t="s">
        <v>206</v>
      </c>
    </row>
    <row r="102" spans="1:6" x14ac:dyDescent="0.25">
      <c r="A102" s="1" t="s">
        <v>207</v>
      </c>
      <c r="B102" s="2" t="s">
        <v>208</v>
      </c>
      <c r="C102" s="2"/>
      <c r="D102" s="2">
        <v>1</v>
      </c>
      <c r="E102" s="6"/>
      <c r="F102" s="7" t="s">
        <v>209</v>
      </c>
    </row>
    <row r="103" spans="1:6" x14ac:dyDescent="0.25">
      <c r="A103" s="1" t="s">
        <v>210</v>
      </c>
      <c r="B103" s="2" t="s">
        <v>208</v>
      </c>
      <c r="C103" s="2"/>
      <c r="D103" s="2">
        <v>1</v>
      </c>
      <c r="E103" s="3"/>
      <c r="F103" s="4" t="s">
        <v>211</v>
      </c>
    </row>
    <row r="104" spans="1:6" x14ac:dyDescent="0.25">
      <c r="A104" s="1" t="s">
        <v>212</v>
      </c>
      <c r="B104" s="2" t="s">
        <v>213</v>
      </c>
      <c r="C104" s="2"/>
      <c r="D104" s="2">
        <v>5</v>
      </c>
      <c r="E104" s="6" t="s">
        <v>214</v>
      </c>
      <c r="F104" s="7" t="s">
        <v>215</v>
      </c>
    </row>
    <row r="105" spans="1:6" x14ac:dyDescent="0.25">
      <c r="A105" s="1" t="s">
        <v>216</v>
      </c>
      <c r="B105" s="2" t="s">
        <v>213</v>
      </c>
      <c r="C105" s="2"/>
      <c r="D105" s="2">
        <v>5</v>
      </c>
      <c r="E105" s="3" t="s">
        <v>214</v>
      </c>
      <c r="F105" s="4"/>
    </row>
    <row r="106" spans="1:6" x14ac:dyDescent="0.25">
      <c r="A106" s="1" t="s">
        <v>217</v>
      </c>
      <c r="B106" s="2" t="s">
        <v>213</v>
      </c>
      <c r="C106" s="2"/>
      <c r="D106" s="2">
        <v>5</v>
      </c>
      <c r="E106" s="6" t="s">
        <v>214</v>
      </c>
      <c r="F106" s="7"/>
    </row>
    <row r="107" spans="1:6" x14ac:dyDescent="0.25">
      <c r="A107" s="1" t="s">
        <v>218</v>
      </c>
      <c r="B107" s="5" t="s">
        <v>213</v>
      </c>
      <c r="C107" s="2"/>
      <c r="D107" s="2">
        <v>5</v>
      </c>
      <c r="E107" s="3" t="s">
        <v>214</v>
      </c>
      <c r="F107" s="4" t="s">
        <v>219</v>
      </c>
    </row>
    <row r="108" spans="1:6" x14ac:dyDescent="0.25">
      <c r="A108" s="1" t="s">
        <v>220</v>
      </c>
      <c r="B108" s="5" t="s">
        <v>213</v>
      </c>
      <c r="C108" s="2" t="s">
        <v>221</v>
      </c>
      <c r="D108" s="2">
        <v>5</v>
      </c>
      <c r="E108" s="6" t="s">
        <v>214</v>
      </c>
      <c r="F108" s="7" t="s">
        <v>222</v>
      </c>
    </row>
    <row r="109" spans="1:6" x14ac:dyDescent="0.25">
      <c r="A109" s="13" t="s">
        <v>223</v>
      </c>
      <c r="B109" s="14" t="s">
        <v>224</v>
      </c>
      <c r="C109" s="15" t="s">
        <v>225</v>
      </c>
      <c r="D109" s="15">
        <v>7</v>
      </c>
      <c r="E109" s="16">
        <v>0</v>
      </c>
      <c r="F109" s="17" t="s">
        <v>226</v>
      </c>
    </row>
    <row r="110" spans="1:6" x14ac:dyDescent="0.25">
      <c r="A110" s="1" t="s">
        <v>227</v>
      </c>
      <c r="B110" s="2" t="s">
        <v>228</v>
      </c>
      <c r="C110" s="2"/>
      <c r="D110" s="18">
        <v>1</v>
      </c>
      <c r="E110" s="6"/>
      <c r="F110" s="7" t="s">
        <v>229</v>
      </c>
    </row>
    <row r="111" spans="1:6" x14ac:dyDescent="0.25">
      <c r="A111" s="1" t="s">
        <v>230</v>
      </c>
      <c r="B111" s="2" t="s">
        <v>228</v>
      </c>
      <c r="C111" s="2" t="s">
        <v>231</v>
      </c>
      <c r="D111" s="19">
        <v>1</v>
      </c>
      <c r="E111" s="3"/>
      <c r="F111" s="4" t="s">
        <v>232</v>
      </c>
    </row>
    <row r="112" spans="1:6" x14ac:dyDescent="0.25">
      <c r="A112" s="1" t="s">
        <v>233</v>
      </c>
      <c r="B112" s="2" t="s">
        <v>228</v>
      </c>
      <c r="C112" s="2"/>
      <c r="D112" s="18">
        <v>1</v>
      </c>
      <c r="E112" s="6"/>
      <c r="F112" s="7" t="s">
        <v>234</v>
      </c>
    </row>
    <row r="113" spans="1:6" x14ac:dyDescent="0.25">
      <c r="A113" s="1" t="s">
        <v>235</v>
      </c>
      <c r="B113" s="2" t="s">
        <v>228</v>
      </c>
      <c r="C113" s="2" t="s">
        <v>231</v>
      </c>
      <c r="D113" s="19">
        <v>1</v>
      </c>
      <c r="E113" s="3"/>
      <c r="F113" s="4" t="s">
        <v>236</v>
      </c>
    </row>
    <row r="114" spans="1:6" x14ac:dyDescent="0.25">
      <c r="A114" s="1" t="s">
        <v>237</v>
      </c>
      <c r="B114" s="2" t="s">
        <v>228</v>
      </c>
      <c r="C114" s="2"/>
      <c r="D114" s="18">
        <v>1</v>
      </c>
      <c r="E114" s="6"/>
      <c r="F114" s="7" t="s">
        <v>238</v>
      </c>
    </row>
    <row r="115" spans="1:6" x14ac:dyDescent="0.25">
      <c r="A115" s="1" t="s">
        <v>239</v>
      </c>
      <c r="B115" s="2" t="s">
        <v>228</v>
      </c>
      <c r="C115" s="2"/>
      <c r="D115" s="19">
        <v>1</v>
      </c>
      <c r="E115" s="3"/>
      <c r="F115" s="4" t="s">
        <v>240</v>
      </c>
    </row>
    <row r="116" spans="1:6" x14ac:dyDescent="0.25">
      <c r="A116" s="1" t="s">
        <v>241</v>
      </c>
      <c r="B116" s="2" t="s">
        <v>228</v>
      </c>
      <c r="C116" s="2"/>
      <c r="D116" s="18">
        <v>1</v>
      </c>
      <c r="E116" s="6"/>
      <c r="F116" s="7" t="s">
        <v>242</v>
      </c>
    </row>
    <row r="117" spans="1:6" x14ac:dyDescent="0.25">
      <c r="A117" s="1" t="s">
        <v>243</v>
      </c>
      <c r="B117" s="2" t="s">
        <v>244</v>
      </c>
      <c r="C117" s="2"/>
      <c r="D117" s="2">
        <v>5</v>
      </c>
      <c r="E117" s="6"/>
      <c r="F117" s="7"/>
    </row>
    <row r="118" spans="1:6" x14ac:dyDescent="0.25">
      <c r="A118" s="1" t="s">
        <v>245</v>
      </c>
      <c r="B118" s="2" t="s">
        <v>244</v>
      </c>
      <c r="C118" s="2"/>
      <c r="D118" s="2">
        <v>5</v>
      </c>
      <c r="E118" s="3"/>
      <c r="F118" s="4" t="s">
        <v>246</v>
      </c>
    </row>
    <row r="119" spans="1:6" x14ac:dyDescent="0.25">
      <c r="A119" s="1" t="s">
        <v>247</v>
      </c>
      <c r="B119" s="2" t="s">
        <v>244</v>
      </c>
      <c r="C119" s="2"/>
      <c r="D119" s="2">
        <v>5</v>
      </c>
      <c r="E119" s="6"/>
      <c r="F119" s="7" t="s">
        <v>248</v>
      </c>
    </row>
    <row r="120" spans="1:6" x14ac:dyDescent="0.25">
      <c r="A120" s="1" t="s">
        <v>249</v>
      </c>
      <c r="B120" s="2" t="s">
        <v>250</v>
      </c>
      <c r="C120" s="2"/>
      <c r="D120" s="2">
        <v>5</v>
      </c>
      <c r="E120" s="6" t="s">
        <v>251</v>
      </c>
      <c r="F120" s="7"/>
    </row>
    <row r="121" spans="1:6" x14ac:dyDescent="0.25">
      <c r="A121" s="1" t="s">
        <v>252</v>
      </c>
      <c r="B121" s="2" t="s">
        <v>250</v>
      </c>
      <c r="C121" s="2"/>
      <c r="D121" s="2">
        <v>1</v>
      </c>
      <c r="E121" s="3" t="s">
        <v>251</v>
      </c>
      <c r="F121" s="4"/>
    </row>
    <row r="122" spans="1:6" x14ac:dyDescent="0.25">
      <c r="A122" s="1" t="s">
        <v>253</v>
      </c>
      <c r="B122" s="2" t="s">
        <v>250</v>
      </c>
      <c r="C122" s="2"/>
      <c r="D122" s="2">
        <v>3</v>
      </c>
      <c r="E122" s="6" t="s">
        <v>251</v>
      </c>
      <c r="F122" s="7"/>
    </row>
    <row r="123" spans="1:6" x14ac:dyDescent="0.25">
      <c r="A123" s="1" t="s">
        <v>254</v>
      </c>
      <c r="B123" s="2" t="s">
        <v>250</v>
      </c>
      <c r="C123" s="2"/>
      <c r="D123" s="2">
        <v>1</v>
      </c>
      <c r="E123" s="3" t="s">
        <v>251</v>
      </c>
      <c r="F123" s="4"/>
    </row>
    <row r="124" spans="1:6" x14ac:dyDescent="0.25">
      <c r="A124" s="1" t="s">
        <v>255</v>
      </c>
      <c r="B124" s="2" t="s">
        <v>250</v>
      </c>
      <c r="C124" s="2"/>
      <c r="D124" s="2">
        <v>1</v>
      </c>
      <c r="E124" s="6" t="s">
        <v>251</v>
      </c>
      <c r="F124" s="7"/>
    </row>
    <row r="125" spans="1:6" x14ac:dyDescent="0.25">
      <c r="A125" s="1" t="s">
        <v>256</v>
      </c>
      <c r="B125" s="2" t="s">
        <v>250</v>
      </c>
      <c r="C125" s="2"/>
      <c r="D125" s="2">
        <v>1</v>
      </c>
      <c r="E125" s="3" t="s">
        <v>251</v>
      </c>
      <c r="F125" s="4" t="s">
        <v>257</v>
      </c>
    </row>
    <row r="126" spans="1:6" x14ac:dyDescent="0.25">
      <c r="A126" s="1" t="s">
        <v>258</v>
      </c>
      <c r="B126" s="2" t="s">
        <v>250</v>
      </c>
      <c r="C126" s="2"/>
      <c r="D126" s="2">
        <v>5</v>
      </c>
      <c r="E126" s="6" t="s">
        <v>251</v>
      </c>
      <c r="F126" s="7"/>
    </row>
    <row r="127" spans="1:6" x14ac:dyDescent="0.25">
      <c r="A127" s="1" t="s">
        <v>259</v>
      </c>
      <c r="B127" s="2" t="s">
        <v>250</v>
      </c>
      <c r="C127" s="2" t="s">
        <v>260</v>
      </c>
      <c r="D127" s="2">
        <v>7</v>
      </c>
      <c r="E127" s="3" t="s">
        <v>251</v>
      </c>
      <c r="F127" s="4" t="s">
        <v>261</v>
      </c>
    </row>
    <row r="128" spans="1:6" x14ac:dyDescent="0.25">
      <c r="A128" s="1" t="s">
        <v>262</v>
      </c>
      <c r="B128" s="2" t="s">
        <v>250</v>
      </c>
      <c r="C128" s="2"/>
      <c r="D128" s="2">
        <v>8</v>
      </c>
      <c r="E128" s="6"/>
      <c r="F128" s="7" t="s">
        <v>263</v>
      </c>
    </row>
    <row r="129" spans="1:6" x14ac:dyDescent="0.25">
      <c r="A129" s="1" t="s">
        <v>264</v>
      </c>
      <c r="B129" s="5" t="s">
        <v>265</v>
      </c>
      <c r="C129" s="2"/>
      <c r="D129" s="2">
        <v>5</v>
      </c>
      <c r="E129" s="6"/>
      <c r="F129" s="7" t="s">
        <v>266</v>
      </c>
    </row>
    <row r="130" spans="1:6" x14ac:dyDescent="0.25">
      <c r="A130" s="1" t="s">
        <v>267</v>
      </c>
      <c r="B130" s="5" t="s">
        <v>265</v>
      </c>
      <c r="C130" s="2"/>
      <c r="D130" s="2">
        <v>5</v>
      </c>
      <c r="E130" s="3"/>
      <c r="F130" s="4" t="s">
        <v>268</v>
      </c>
    </row>
    <row r="131" spans="1:6" x14ac:dyDescent="0.25">
      <c r="A131" s="1" t="s">
        <v>269</v>
      </c>
      <c r="B131" s="5" t="s">
        <v>265</v>
      </c>
      <c r="C131" s="2"/>
      <c r="D131" s="2">
        <v>5</v>
      </c>
      <c r="E131" s="6"/>
      <c r="F131" s="7"/>
    </row>
    <row r="132" spans="1:6" x14ac:dyDescent="0.25">
      <c r="A132" s="1" t="s">
        <v>270</v>
      </c>
      <c r="B132" s="5" t="s">
        <v>265</v>
      </c>
      <c r="C132" s="2"/>
      <c r="D132" s="2">
        <v>5</v>
      </c>
      <c r="E132" s="3"/>
      <c r="F132" s="4" t="s">
        <v>271</v>
      </c>
    </row>
    <row r="133" spans="1:6" x14ac:dyDescent="0.25">
      <c r="A133" s="1" t="s">
        <v>272</v>
      </c>
      <c r="B133" s="5" t="s">
        <v>265</v>
      </c>
      <c r="C133" s="2"/>
      <c r="D133" s="2">
        <v>5</v>
      </c>
      <c r="E133" s="6"/>
      <c r="F133" s="7" t="s">
        <v>273</v>
      </c>
    </row>
    <row r="134" spans="1:6" x14ac:dyDescent="0.25">
      <c r="A134" s="1" t="s">
        <v>274</v>
      </c>
      <c r="B134" s="5" t="s">
        <v>265</v>
      </c>
      <c r="C134" s="2"/>
      <c r="D134" s="2">
        <v>5</v>
      </c>
      <c r="E134" s="3"/>
      <c r="F134" s="4" t="s">
        <v>275</v>
      </c>
    </row>
    <row r="135" spans="1:6" x14ac:dyDescent="0.25">
      <c r="A135" s="1" t="s">
        <v>276</v>
      </c>
      <c r="B135" s="5" t="s">
        <v>265</v>
      </c>
      <c r="C135" s="2" t="s">
        <v>277</v>
      </c>
      <c r="D135" s="2">
        <v>5</v>
      </c>
      <c r="E135" s="6"/>
      <c r="F135" s="7" t="s">
        <v>278</v>
      </c>
    </row>
    <row r="136" spans="1:6" x14ac:dyDescent="0.25">
      <c r="A136" s="1" t="s">
        <v>279</v>
      </c>
      <c r="B136" s="5" t="s">
        <v>265</v>
      </c>
      <c r="C136" s="2"/>
      <c r="D136" s="2">
        <v>5</v>
      </c>
      <c r="E136" s="3"/>
      <c r="F136" s="4" t="s">
        <v>280</v>
      </c>
    </row>
    <row r="137" spans="1:6" x14ac:dyDescent="0.25">
      <c r="A137" s="1" t="s">
        <v>281</v>
      </c>
      <c r="B137" s="2" t="s">
        <v>265</v>
      </c>
      <c r="C137" s="2"/>
      <c r="D137" s="2">
        <v>5</v>
      </c>
      <c r="E137" s="6"/>
      <c r="F137" s="7"/>
    </row>
    <row r="138" spans="1:6" x14ac:dyDescent="0.25">
      <c r="A138" s="1" t="s">
        <v>282</v>
      </c>
      <c r="B138" s="2" t="s">
        <v>265</v>
      </c>
      <c r="C138" s="2"/>
      <c r="D138" s="2">
        <v>5</v>
      </c>
      <c r="E138" s="3"/>
      <c r="F138" s="4" t="s">
        <v>283</v>
      </c>
    </row>
    <row r="139" spans="1:6" x14ac:dyDescent="0.25">
      <c r="A139" s="1" t="s">
        <v>284</v>
      </c>
      <c r="B139" s="2" t="s">
        <v>285</v>
      </c>
      <c r="C139" s="2"/>
      <c r="D139" s="2">
        <v>1</v>
      </c>
      <c r="E139" s="6"/>
      <c r="F139" s="7" t="s">
        <v>286</v>
      </c>
    </row>
    <row r="140" spans="1:6" x14ac:dyDescent="0.25">
      <c r="A140" s="1" t="s">
        <v>287</v>
      </c>
      <c r="B140" s="2" t="s">
        <v>285</v>
      </c>
      <c r="C140" s="2"/>
      <c r="D140" s="2">
        <v>1</v>
      </c>
      <c r="E140" s="3"/>
      <c r="F140" s="4" t="s">
        <v>288</v>
      </c>
    </row>
    <row r="141" spans="1:6" x14ac:dyDescent="0.25">
      <c r="A141" s="1" t="s">
        <v>289</v>
      </c>
      <c r="B141" s="2" t="s">
        <v>285</v>
      </c>
      <c r="C141" s="2"/>
      <c r="D141" s="2">
        <v>1</v>
      </c>
      <c r="E141" s="6"/>
      <c r="F141" s="7" t="s">
        <v>290</v>
      </c>
    </row>
    <row r="142" spans="1:6" x14ac:dyDescent="0.25">
      <c r="A142" s="1" t="s">
        <v>291</v>
      </c>
      <c r="B142" s="2" t="s">
        <v>285</v>
      </c>
      <c r="C142" s="2"/>
      <c r="D142" s="2">
        <v>1</v>
      </c>
      <c r="E142" s="3"/>
      <c r="F142" s="4"/>
    </row>
    <row r="143" spans="1:6" x14ac:dyDescent="0.25">
      <c r="A143" s="1" t="s">
        <v>292</v>
      </c>
      <c r="B143" s="2" t="s">
        <v>285</v>
      </c>
      <c r="C143" s="2"/>
      <c r="D143" s="2">
        <v>1</v>
      </c>
      <c r="E143" s="6"/>
      <c r="F143" s="7" t="s">
        <v>293</v>
      </c>
    </row>
    <row r="144" spans="1:6" x14ac:dyDescent="0.25">
      <c r="A144" s="1" t="s">
        <v>294</v>
      </c>
      <c r="B144" s="2" t="s">
        <v>285</v>
      </c>
      <c r="C144" s="2"/>
      <c r="D144" s="2">
        <v>1</v>
      </c>
      <c r="E144" s="3"/>
      <c r="F144" s="4"/>
    </row>
    <row r="145" spans="1:6" x14ac:dyDescent="0.25">
      <c r="A145" s="1" t="s">
        <v>295</v>
      </c>
      <c r="B145" s="2" t="s">
        <v>285</v>
      </c>
      <c r="C145" s="2"/>
      <c r="D145" s="2">
        <v>1</v>
      </c>
      <c r="E145" s="6"/>
      <c r="F145" s="7" t="s">
        <v>296</v>
      </c>
    </row>
    <row r="146" spans="1:6" x14ac:dyDescent="0.25">
      <c r="A146" s="1" t="s">
        <v>297</v>
      </c>
      <c r="B146" s="2" t="s">
        <v>298</v>
      </c>
      <c r="C146" s="2"/>
      <c r="D146" s="2">
        <v>1</v>
      </c>
      <c r="E146" s="3" t="s">
        <v>299</v>
      </c>
      <c r="F146" s="4" t="s">
        <v>300</v>
      </c>
    </row>
    <row r="147" spans="1:6" x14ac:dyDescent="0.25">
      <c r="A147" s="1" t="s">
        <v>301</v>
      </c>
      <c r="B147" s="2" t="s">
        <v>298</v>
      </c>
      <c r="C147" s="2"/>
      <c r="D147" s="2">
        <v>1</v>
      </c>
      <c r="E147" s="6" t="s">
        <v>299</v>
      </c>
      <c r="F147" s="7" t="s">
        <v>302</v>
      </c>
    </row>
    <row r="148" spans="1:6" x14ac:dyDescent="0.25">
      <c r="A148" s="1" t="s">
        <v>303</v>
      </c>
      <c r="B148" s="2" t="s">
        <v>298</v>
      </c>
      <c r="C148" s="2" t="s">
        <v>304</v>
      </c>
      <c r="D148" s="2">
        <v>1</v>
      </c>
      <c r="E148" s="3" t="s">
        <v>299</v>
      </c>
      <c r="F148" s="4" t="s">
        <v>305</v>
      </c>
    </row>
    <row r="149" spans="1:6" x14ac:dyDescent="0.25">
      <c r="A149" s="1" t="s">
        <v>306</v>
      </c>
      <c r="B149" s="2" t="s">
        <v>307</v>
      </c>
      <c r="C149" s="2" t="s">
        <v>308</v>
      </c>
      <c r="D149" s="2">
        <v>1</v>
      </c>
      <c r="E149" s="6" t="s">
        <v>309</v>
      </c>
      <c r="F149" s="7"/>
    </row>
    <row r="150" spans="1:6" x14ac:dyDescent="0.25">
      <c r="A150" s="1" t="s">
        <v>310</v>
      </c>
      <c r="B150" s="2" t="s">
        <v>311</v>
      </c>
      <c r="C150" s="2"/>
      <c r="D150" s="2">
        <v>2</v>
      </c>
      <c r="E150" s="6"/>
      <c r="F150" s="7" t="s">
        <v>312</v>
      </c>
    </row>
    <row r="151" spans="1:6" x14ac:dyDescent="0.25">
      <c r="A151" s="1" t="s">
        <v>313</v>
      </c>
      <c r="B151" s="2" t="s">
        <v>311</v>
      </c>
      <c r="C151" s="2"/>
      <c r="D151" s="2">
        <v>3</v>
      </c>
      <c r="E151" s="3"/>
      <c r="F151" s="4" t="s">
        <v>314</v>
      </c>
    </row>
    <row r="152" spans="1:6" x14ac:dyDescent="0.25">
      <c r="A152" s="1" t="s">
        <v>315</v>
      </c>
      <c r="B152" s="2" t="s">
        <v>311</v>
      </c>
      <c r="C152" s="2"/>
      <c r="D152" s="2">
        <v>3</v>
      </c>
      <c r="E152" s="6"/>
      <c r="F152" s="7" t="s">
        <v>316</v>
      </c>
    </row>
    <row r="153" spans="1:6" x14ac:dyDescent="0.25">
      <c r="A153" s="1" t="s">
        <v>317</v>
      </c>
      <c r="B153" s="2" t="s">
        <v>318</v>
      </c>
      <c r="C153" s="2"/>
      <c r="D153" s="2">
        <v>5</v>
      </c>
      <c r="E153" s="3" t="s">
        <v>319</v>
      </c>
      <c r="F153" s="4"/>
    </row>
    <row r="154" spans="1:6" x14ac:dyDescent="0.25">
      <c r="A154" s="1" t="s">
        <v>320</v>
      </c>
      <c r="B154" s="2" t="s">
        <v>318</v>
      </c>
      <c r="C154" s="2"/>
      <c r="D154" s="2">
        <v>5</v>
      </c>
      <c r="E154" s="6" t="s">
        <v>319</v>
      </c>
      <c r="F154" s="7" t="s">
        <v>321</v>
      </c>
    </row>
    <row r="155" spans="1:6" x14ac:dyDescent="0.25">
      <c r="A155" s="1" t="s">
        <v>322</v>
      </c>
      <c r="B155" s="2" t="s">
        <v>318</v>
      </c>
      <c r="C155" s="2"/>
      <c r="D155" s="2">
        <v>5</v>
      </c>
      <c r="E155" s="3" t="s">
        <v>319</v>
      </c>
      <c r="F155" s="4"/>
    </row>
    <row r="156" spans="1:6" x14ac:dyDescent="0.25">
      <c r="A156" s="1" t="s">
        <v>323</v>
      </c>
      <c r="B156" s="2" t="s">
        <v>318</v>
      </c>
      <c r="C156" s="2"/>
      <c r="D156" s="2">
        <v>5</v>
      </c>
      <c r="E156" s="6" t="s">
        <v>319</v>
      </c>
      <c r="F156" s="7"/>
    </row>
    <row r="157" spans="1:6" x14ac:dyDescent="0.25">
      <c r="A157" s="1" t="s">
        <v>324</v>
      </c>
      <c r="B157" s="2" t="s">
        <v>318</v>
      </c>
      <c r="C157" s="2"/>
      <c r="D157" s="2">
        <v>5</v>
      </c>
      <c r="E157" s="3" t="s">
        <v>319</v>
      </c>
      <c r="F157" s="4"/>
    </row>
    <row r="158" spans="1:6" x14ac:dyDescent="0.25">
      <c r="A158" s="1" t="s">
        <v>325</v>
      </c>
      <c r="B158" s="2" t="s">
        <v>318</v>
      </c>
      <c r="C158" s="2"/>
      <c r="D158" s="2">
        <v>5</v>
      </c>
      <c r="E158" s="6" t="s">
        <v>319</v>
      </c>
      <c r="F158" s="7"/>
    </row>
    <row r="159" spans="1:6" x14ac:dyDescent="0.25">
      <c r="A159" s="1" t="s">
        <v>326</v>
      </c>
      <c r="B159" s="2" t="s">
        <v>318</v>
      </c>
      <c r="C159" s="2"/>
      <c r="D159" s="2">
        <v>5</v>
      </c>
      <c r="E159" s="3" t="s">
        <v>319</v>
      </c>
      <c r="F159" s="4" t="s">
        <v>327</v>
      </c>
    </row>
    <row r="160" spans="1:6" x14ac:dyDescent="0.25">
      <c r="A160" s="1" t="s">
        <v>328</v>
      </c>
      <c r="B160" s="2" t="s">
        <v>318</v>
      </c>
      <c r="C160" s="2"/>
      <c r="D160" s="2">
        <v>5</v>
      </c>
      <c r="E160" s="6" t="s">
        <v>319</v>
      </c>
      <c r="F160" s="7" t="s">
        <v>329</v>
      </c>
    </row>
    <row r="161" spans="1:6" x14ac:dyDescent="0.25">
      <c r="A161" s="1" t="s">
        <v>330</v>
      </c>
      <c r="B161" s="2" t="s">
        <v>318</v>
      </c>
      <c r="C161" s="2"/>
      <c r="D161" s="2">
        <v>5</v>
      </c>
      <c r="E161" s="3" t="s">
        <v>319</v>
      </c>
      <c r="F161" s="4"/>
    </row>
    <row r="162" spans="1:6" x14ac:dyDescent="0.25">
      <c r="A162" s="1" t="s">
        <v>331</v>
      </c>
      <c r="B162" s="2" t="s">
        <v>318</v>
      </c>
      <c r="C162" s="2"/>
      <c r="D162" s="2">
        <v>5</v>
      </c>
      <c r="E162" s="6" t="s">
        <v>319</v>
      </c>
      <c r="F162" s="7" t="s">
        <v>32</v>
      </c>
    </row>
    <row r="163" spans="1:6" x14ac:dyDescent="0.25">
      <c r="A163" s="1" t="s">
        <v>332</v>
      </c>
      <c r="B163" s="2" t="s">
        <v>333</v>
      </c>
      <c r="C163" s="2"/>
      <c r="D163" s="2">
        <v>5</v>
      </c>
      <c r="E163" s="3"/>
      <c r="F163" s="4" t="s">
        <v>334</v>
      </c>
    </row>
    <row r="164" spans="1:6" x14ac:dyDescent="0.25">
      <c r="A164" s="1" t="s">
        <v>335</v>
      </c>
      <c r="B164" s="2" t="s">
        <v>336</v>
      </c>
      <c r="C164" s="2"/>
      <c r="D164" s="2">
        <v>5</v>
      </c>
      <c r="E164" s="6" t="s">
        <v>337</v>
      </c>
      <c r="F164" s="7"/>
    </row>
    <row r="165" spans="1:6" x14ac:dyDescent="0.25">
      <c r="A165" s="1" t="s">
        <v>338</v>
      </c>
      <c r="B165" s="2" t="s">
        <v>336</v>
      </c>
      <c r="C165" s="2"/>
      <c r="D165" s="2">
        <v>5</v>
      </c>
      <c r="E165" s="6" t="s">
        <v>337</v>
      </c>
      <c r="F165" s="7" t="s">
        <v>339</v>
      </c>
    </row>
    <row r="166" spans="1:6" x14ac:dyDescent="0.25">
      <c r="A166" s="1" t="s">
        <v>340</v>
      </c>
      <c r="B166" s="2" t="s">
        <v>336</v>
      </c>
      <c r="C166" s="2"/>
      <c r="D166" s="2">
        <v>5</v>
      </c>
      <c r="E166" s="3" t="s">
        <v>337</v>
      </c>
      <c r="F166" s="4"/>
    </row>
    <row r="167" spans="1:6" x14ac:dyDescent="0.25">
      <c r="A167" s="13" t="s">
        <v>341</v>
      </c>
      <c r="B167" s="14" t="s">
        <v>342</v>
      </c>
      <c r="C167" s="15" t="s">
        <v>343</v>
      </c>
      <c r="D167" s="15">
        <v>5</v>
      </c>
      <c r="E167" s="16">
        <v>0</v>
      </c>
      <c r="F167" s="17">
        <v>0</v>
      </c>
    </row>
    <row r="168" spans="1:6" x14ac:dyDescent="0.25">
      <c r="A168" s="13" t="s">
        <v>344</v>
      </c>
      <c r="B168" s="14" t="s">
        <v>345</v>
      </c>
      <c r="C168" s="15" t="s">
        <v>225</v>
      </c>
      <c r="D168" s="15">
        <v>7</v>
      </c>
      <c r="E168" s="16">
        <v>0</v>
      </c>
      <c r="F168" s="17" t="s">
        <v>226</v>
      </c>
    </row>
    <row r="169" spans="1:6" x14ac:dyDescent="0.25">
      <c r="A169" s="1" t="s">
        <v>346</v>
      </c>
      <c r="B169" s="2" t="s">
        <v>347</v>
      </c>
      <c r="C169" s="2"/>
      <c r="D169" s="2">
        <v>5</v>
      </c>
      <c r="E169" s="3"/>
      <c r="F169" s="4"/>
    </row>
    <row r="170" spans="1:6" x14ac:dyDescent="0.25">
      <c r="A170" s="1" t="s">
        <v>348</v>
      </c>
      <c r="B170" s="2" t="s">
        <v>347</v>
      </c>
      <c r="C170" s="2"/>
      <c r="D170" s="2">
        <v>5</v>
      </c>
      <c r="E170" s="6"/>
      <c r="F170" s="7" t="s">
        <v>349</v>
      </c>
    </row>
    <row r="171" spans="1:6" x14ac:dyDescent="0.25">
      <c r="A171" s="1" t="s">
        <v>350</v>
      </c>
      <c r="B171" s="5" t="s">
        <v>351</v>
      </c>
      <c r="C171" s="2"/>
      <c r="D171" s="2">
        <v>3</v>
      </c>
      <c r="E171" s="6" t="s">
        <v>352</v>
      </c>
      <c r="F171" s="7" t="s">
        <v>353</v>
      </c>
    </row>
    <row r="172" spans="1:6" x14ac:dyDescent="0.25">
      <c r="A172" s="1" t="s">
        <v>354</v>
      </c>
      <c r="B172" s="5" t="s">
        <v>351</v>
      </c>
      <c r="C172" s="2"/>
      <c r="D172" s="2">
        <v>3</v>
      </c>
      <c r="E172" s="3" t="s">
        <v>352</v>
      </c>
      <c r="F172" s="4" t="s">
        <v>355</v>
      </c>
    </row>
    <row r="173" spans="1:6" x14ac:dyDescent="0.25">
      <c r="A173" s="1" t="s">
        <v>356</v>
      </c>
      <c r="B173" s="5" t="s">
        <v>351</v>
      </c>
      <c r="C173" s="2"/>
      <c r="D173" s="2">
        <v>3</v>
      </c>
      <c r="E173" s="6" t="s">
        <v>352</v>
      </c>
      <c r="F173" s="7" t="s">
        <v>357</v>
      </c>
    </row>
    <row r="174" spans="1:6" x14ac:dyDescent="0.25">
      <c r="A174" s="1" t="s">
        <v>358</v>
      </c>
      <c r="B174" s="5" t="s">
        <v>351</v>
      </c>
      <c r="C174" s="2"/>
      <c r="D174" s="2">
        <v>3</v>
      </c>
      <c r="E174" s="3" t="s">
        <v>352</v>
      </c>
      <c r="F174" s="4"/>
    </row>
    <row r="175" spans="1:6" x14ac:dyDescent="0.25">
      <c r="A175" s="1" t="s">
        <v>359</v>
      </c>
      <c r="B175" s="5" t="s">
        <v>351</v>
      </c>
      <c r="C175" s="2"/>
      <c r="D175" s="2">
        <v>3</v>
      </c>
      <c r="E175" s="6" t="s">
        <v>352</v>
      </c>
      <c r="F175" s="20" t="s">
        <v>360</v>
      </c>
    </row>
    <row r="176" spans="1:6" x14ac:dyDescent="0.25">
      <c r="A176" s="1" t="s">
        <v>361</v>
      </c>
      <c r="B176" s="5" t="s">
        <v>351</v>
      </c>
      <c r="C176" s="2"/>
      <c r="D176" s="2">
        <v>3</v>
      </c>
      <c r="E176" s="3" t="s">
        <v>352</v>
      </c>
      <c r="F176" s="20"/>
    </row>
    <row r="177" spans="1:6" x14ac:dyDescent="0.25">
      <c r="A177" s="1" t="s">
        <v>362</v>
      </c>
      <c r="B177" s="2" t="s">
        <v>363</v>
      </c>
      <c r="C177" s="2"/>
      <c r="D177" s="2">
        <v>1</v>
      </c>
      <c r="E177" s="3"/>
      <c r="F177" s="4" t="s">
        <v>364</v>
      </c>
    </row>
    <row r="178" spans="1:6" x14ac:dyDescent="0.25">
      <c r="A178" s="1" t="s">
        <v>365</v>
      </c>
      <c r="B178" s="2" t="s">
        <v>363</v>
      </c>
      <c r="C178" s="2"/>
      <c r="D178" s="2">
        <v>1</v>
      </c>
      <c r="E178" s="6"/>
      <c r="F178" s="7" t="s">
        <v>366</v>
      </c>
    </row>
    <row r="179" spans="1:6" x14ac:dyDescent="0.25">
      <c r="A179" s="1" t="s">
        <v>367</v>
      </c>
      <c r="B179" s="2" t="s">
        <v>363</v>
      </c>
      <c r="C179" s="2"/>
      <c r="D179" s="2">
        <v>1</v>
      </c>
      <c r="E179" s="3"/>
      <c r="F179" s="4" t="s">
        <v>368</v>
      </c>
    </row>
    <row r="180" spans="1:6" x14ac:dyDescent="0.25">
      <c r="A180" s="1" t="s">
        <v>369</v>
      </c>
      <c r="B180" s="2" t="s">
        <v>363</v>
      </c>
      <c r="C180" s="2"/>
      <c r="D180" s="2">
        <v>1</v>
      </c>
      <c r="E180" s="6"/>
      <c r="F180" s="7" t="s">
        <v>370</v>
      </c>
    </row>
    <row r="181" spans="1:6" x14ac:dyDescent="0.25">
      <c r="A181" s="1" t="s">
        <v>371</v>
      </c>
      <c r="B181" s="2" t="s">
        <v>363</v>
      </c>
      <c r="C181" s="2"/>
      <c r="D181" s="2">
        <v>1</v>
      </c>
      <c r="E181" s="3"/>
      <c r="F181" s="4" t="s">
        <v>372</v>
      </c>
    </row>
    <row r="182" spans="1:6" x14ac:dyDescent="0.25">
      <c r="A182" s="1" t="s">
        <v>373</v>
      </c>
      <c r="B182" s="2" t="s">
        <v>363</v>
      </c>
      <c r="C182" s="2"/>
      <c r="D182" s="2">
        <v>1</v>
      </c>
      <c r="E182" s="6"/>
      <c r="F182" s="7" t="s">
        <v>374</v>
      </c>
    </row>
    <row r="183" spans="1:6" x14ac:dyDescent="0.25">
      <c r="A183" s="1" t="s">
        <v>375</v>
      </c>
      <c r="B183" s="2" t="s">
        <v>363</v>
      </c>
      <c r="C183" s="2"/>
      <c r="D183" s="2">
        <v>1</v>
      </c>
      <c r="E183" s="3"/>
      <c r="F183" s="4" t="s">
        <v>376</v>
      </c>
    </row>
    <row r="184" spans="1:6" x14ac:dyDescent="0.25">
      <c r="A184" s="1" t="s">
        <v>377</v>
      </c>
      <c r="B184" s="2" t="s">
        <v>363</v>
      </c>
      <c r="C184" s="2"/>
      <c r="D184" s="2">
        <v>1</v>
      </c>
      <c r="E184" s="6"/>
      <c r="F184" s="7" t="s">
        <v>378</v>
      </c>
    </row>
    <row r="185" spans="1:6" x14ac:dyDescent="0.25">
      <c r="A185" s="1" t="s">
        <v>379</v>
      </c>
      <c r="B185" s="5" t="s">
        <v>380</v>
      </c>
      <c r="C185" s="2"/>
      <c r="D185" s="2">
        <v>2</v>
      </c>
      <c r="E185" s="3"/>
      <c r="F185" s="4" t="s">
        <v>381</v>
      </c>
    </row>
  </sheetData>
  <dataValidations count="12">
    <dataValidation type="custom" allowBlank="1" showInputMessage="1" showErrorMessage="1" sqref="A58:A60" xr:uid="{57C19172-D9E8-45BD-A378-8B8FFBE757B8}">
      <formula1>COUNTIF($A$2:$A181,A58)=1</formula1>
    </dataValidation>
    <dataValidation type="custom" allowBlank="1" showInputMessage="1" showErrorMessage="1" sqref="A52" xr:uid="{7E339740-017B-4363-A1F0-11A051D02238}">
      <formula1>COUNTIF($A$2:$A181,A52)=1</formula1>
    </dataValidation>
    <dataValidation type="custom" allowBlank="1" showInputMessage="1" showErrorMessage="1" sqref="A54" xr:uid="{48A0DCF9-D1D0-403D-8BCD-B164E36CA321}">
      <formula1>COUNTIF($A$2:$A181,A54)=1</formula1>
    </dataValidation>
    <dataValidation type="custom" allowBlank="1" showInputMessage="1" showErrorMessage="1" sqref="A57" xr:uid="{4803F813-9F18-4295-8807-675928DD3DAC}">
      <formula1>COUNTIF($A$2:$A181,A57)=1</formula1>
    </dataValidation>
    <dataValidation type="custom" allowBlank="1" showInputMessage="1" showErrorMessage="1" sqref="A55" xr:uid="{4C732F30-CC7E-4F2C-A9D6-B9C7590E3B99}">
      <formula1>COUNTIF($A$2:$A181,A55)=1</formula1>
    </dataValidation>
    <dataValidation type="custom" allowBlank="1" showInputMessage="1" showErrorMessage="1" sqref="A56" xr:uid="{05481EFB-C3A3-42F3-B591-58CD2AF78B2C}">
      <formula1>COUNTIF($A$2:$A57,A56)=1</formula1>
    </dataValidation>
    <dataValidation type="custom" allowBlank="1" showInputMessage="1" showErrorMessage="1" sqref="A61:A62 A64" xr:uid="{5CC31613-1BD7-4548-BB04-57F6253583D7}">
      <formula1>COUNTIF($A$2:$A138,A61)=1</formula1>
    </dataValidation>
    <dataValidation type="custom" allowBlank="1" showInputMessage="1" showErrorMessage="1" sqref="A70" xr:uid="{30EAD80B-F3FB-485A-BA8A-E35B4E8B35B8}">
      <formula1>COUNTIF($A$2:$A135,A70)=1</formula1>
    </dataValidation>
    <dataValidation type="custom" allowBlank="1" showInputMessage="1" showErrorMessage="1" sqref="A68" xr:uid="{2F3E85D3-B9DC-4BD3-BDE3-4D2C03EC0367}">
      <formula1>COUNTIF($A$2:$A142,A68)=1</formula1>
    </dataValidation>
    <dataValidation type="custom" allowBlank="1" showInputMessage="1" showErrorMessage="1" sqref="A74" xr:uid="{D03849BB-2CB2-49E7-8A74-31B90491BDA0}">
      <formula1>COUNTIF($A$2:$A137,A74)=1</formula1>
    </dataValidation>
    <dataValidation type="custom" allowBlank="1" showInputMessage="1" showErrorMessage="1" sqref="A63" xr:uid="{EF3723A5-B0CA-4C5F-B56B-3E918E290109}">
      <formula1>COUNTIF($A$2:$A139,A63)=1</formula1>
    </dataValidation>
    <dataValidation type="custom" allowBlank="1" showInputMessage="1" showErrorMessage="1" sqref="A76:A77" xr:uid="{F86CE75A-1576-4E9F-9B65-AD35EC73AE8A}">
      <formula1>COUNTIF($A$2:$A103,A76)=1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37E0-AA5D-4E4D-AAE8-F525515C6536}">
  <dimension ref="A1:M34"/>
  <sheetViews>
    <sheetView tabSelected="1" workbookViewId="0">
      <selection activeCell="AL39" sqref="AL39"/>
    </sheetView>
  </sheetViews>
  <sheetFormatPr defaultRowHeight="15" x14ac:dyDescent="0.25"/>
  <cols>
    <col min="2" max="2" width="12.42578125" customWidth="1"/>
    <col min="3" max="3" width="31" customWidth="1"/>
  </cols>
  <sheetData>
    <row r="1" spans="1:13" ht="45" x14ac:dyDescent="0.25">
      <c r="A1" s="21" t="s">
        <v>382</v>
      </c>
      <c r="B1" s="22" t="s">
        <v>383</v>
      </c>
      <c r="C1" s="23" t="s">
        <v>384</v>
      </c>
      <c r="D1" s="23" t="s">
        <v>385</v>
      </c>
      <c r="E1" s="23" t="s">
        <v>386</v>
      </c>
      <c r="F1" s="23" t="s">
        <v>387</v>
      </c>
      <c r="G1" s="23" t="s">
        <v>388</v>
      </c>
      <c r="H1" s="23" t="s">
        <v>389</v>
      </c>
      <c r="I1" s="23" t="s">
        <v>390</v>
      </c>
      <c r="J1" s="23" t="s">
        <v>391</v>
      </c>
      <c r="K1" s="23" t="s">
        <v>392</v>
      </c>
      <c r="L1" s="53" t="s">
        <v>1087</v>
      </c>
      <c r="M1" s="53" t="s">
        <v>1089</v>
      </c>
    </row>
    <row r="2" spans="1:13" x14ac:dyDescent="0.25">
      <c r="A2" s="24">
        <f t="shared" ref="A2:A26" si="0">VLOOKUP(B2,CatLU,3,FALSE)</f>
        <v>8</v>
      </c>
      <c r="B2" s="25" t="s">
        <v>393</v>
      </c>
      <c r="C2" s="26" t="str">
        <f>VLOOKUP(B2,Material,2,FALSE)</f>
        <v>Broken Asphalt (IN)</v>
      </c>
      <c r="D2" s="27">
        <v>125</v>
      </c>
      <c r="E2" s="27">
        <v>150</v>
      </c>
      <c r="F2" s="27">
        <v>200</v>
      </c>
      <c r="G2" s="27">
        <v>275</v>
      </c>
      <c r="H2" s="27">
        <v>300</v>
      </c>
      <c r="I2" s="27">
        <v>325</v>
      </c>
      <c r="J2" s="27" t="s">
        <v>394</v>
      </c>
      <c r="K2" s="27" t="s">
        <v>394</v>
      </c>
      <c r="L2" s="54" t="s">
        <v>821</v>
      </c>
      <c r="M2" t="str">
        <f>IFERROR(TRIM(LEFT(C2,SEARCH("(",C2)-1)),C2)</f>
        <v>Broken Asphalt</v>
      </c>
    </row>
    <row r="3" spans="1:13" x14ac:dyDescent="0.25">
      <c r="A3" s="24">
        <f t="shared" si="0"/>
        <v>5</v>
      </c>
      <c r="B3" s="25" t="s">
        <v>395</v>
      </c>
      <c r="C3" s="26" t="str">
        <f t="shared" ref="C2:C26" si="1">VLOOKUP(B3,Material,2,FALSE)</f>
        <v>Other Clean Hard Fill (IN)</v>
      </c>
      <c r="D3" s="27">
        <v>75</v>
      </c>
      <c r="E3" s="27">
        <v>90</v>
      </c>
      <c r="F3" s="27">
        <v>120</v>
      </c>
      <c r="G3" s="27">
        <v>165</v>
      </c>
      <c r="H3" s="27">
        <v>180</v>
      </c>
      <c r="I3" s="27">
        <v>195</v>
      </c>
      <c r="J3" s="27" t="s">
        <v>394</v>
      </c>
      <c r="K3" s="27" t="s">
        <v>394</v>
      </c>
      <c r="L3" s="54" t="s">
        <v>821</v>
      </c>
      <c r="M3" t="str">
        <f t="shared" ref="M3:M31" si="2">IFERROR(TRIM(LEFT(C3,SEARCH("(",C3)-1)),C3)</f>
        <v>Other Clean Hard Fill</v>
      </c>
    </row>
    <row r="4" spans="1:13" x14ac:dyDescent="0.25">
      <c r="A4" s="24">
        <f t="shared" si="0"/>
        <v>4</v>
      </c>
      <c r="B4" s="25" t="s">
        <v>396</v>
      </c>
      <c r="C4" s="26" t="str">
        <f t="shared" si="1"/>
        <v xml:space="preserve">Broken Concrete (IN) </v>
      </c>
      <c r="D4" s="27">
        <v>75</v>
      </c>
      <c r="E4" s="27">
        <v>90</v>
      </c>
      <c r="F4" s="27">
        <v>120</v>
      </c>
      <c r="G4" s="27">
        <v>165</v>
      </c>
      <c r="H4" s="27">
        <v>180</v>
      </c>
      <c r="I4" s="27">
        <v>195</v>
      </c>
      <c r="J4" s="27" t="s">
        <v>394</v>
      </c>
      <c r="K4" s="27" t="s">
        <v>394</v>
      </c>
      <c r="L4" s="54" t="s">
        <v>821</v>
      </c>
      <c r="M4" t="str">
        <f t="shared" si="2"/>
        <v>Broken Concrete</v>
      </c>
    </row>
    <row r="5" spans="1:13" x14ac:dyDescent="0.25">
      <c r="A5" s="24">
        <f t="shared" si="0"/>
        <v>3</v>
      </c>
      <c r="B5" s="25" t="s">
        <v>397</v>
      </c>
      <c r="C5" s="26" t="str">
        <f t="shared" si="1"/>
        <v>Bulk Topsoil (clean) (IN)</v>
      </c>
      <c r="D5" s="27">
        <v>40</v>
      </c>
      <c r="E5" s="27">
        <v>48</v>
      </c>
      <c r="F5" s="27">
        <v>64</v>
      </c>
      <c r="G5" s="27">
        <v>88</v>
      </c>
      <c r="H5" s="27">
        <v>96</v>
      </c>
      <c r="I5" s="27">
        <v>104</v>
      </c>
      <c r="J5" s="27" t="s">
        <v>394</v>
      </c>
      <c r="K5" s="27" t="s">
        <v>394</v>
      </c>
      <c r="L5" s="54" t="s">
        <v>821</v>
      </c>
      <c r="M5" t="str">
        <f t="shared" si="2"/>
        <v>Bulk Topsoil</v>
      </c>
    </row>
    <row r="6" spans="1:13" x14ac:dyDescent="0.25">
      <c r="A6" s="24">
        <f t="shared" si="0"/>
        <v>12</v>
      </c>
      <c r="B6" s="25" t="s">
        <v>398</v>
      </c>
      <c r="C6" s="26" t="str">
        <f t="shared" si="1"/>
        <v>Bridge Deck (IN)</v>
      </c>
      <c r="D6" s="27">
        <v>625</v>
      </c>
      <c r="E6" s="27">
        <v>750</v>
      </c>
      <c r="F6" s="27">
        <v>1000</v>
      </c>
      <c r="G6" s="27">
        <v>1375</v>
      </c>
      <c r="H6" s="27">
        <v>1500</v>
      </c>
      <c r="I6" s="27">
        <v>1625</v>
      </c>
      <c r="J6" s="27" t="s">
        <v>394</v>
      </c>
      <c r="K6" s="27" t="s">
        <v>394</v>
      </c>
      <c r="L6" s="54" t="s">
        <v>821</v>
      </c>
      <c r="M6" t="str">
        <f t="shared" si="2"/>
        <v>Bridge Deck</v>
      </c>
    </row>
    <row r="7" spans="1:13" x14ac:dyDescent="0.25">
      <c r="A7" s="24">
        <f t="shared" si="0"/>
        <v>5</v>
      </c>
      <c r="B7" s="25" t="s">
        <v>399</v>
      </c>
      <c r="C7" s="26" t="str">
        <f t="shared" si="1"/>
        <v>Other Clean Hard Fill (IN)</v>
      </c>
      <c r="D7" s="27">
        <v>75</v>
      </c>
      <c r="E7" s="27">
        <v>90</v>
      </c>
      <c r="F7" s="27">
        <v>120</v>
      </c>
      <c r="G7" s="27">
        <v>165</v>
      </c>
      <c r="H7" s="27">
        <v>180</v>
      </c>
      <c r="I7" s="27">
        <v>195</v>
      </c>
      <c r="J7" s="27" t="s">
        <v>394</v>
      </c>
      <c r="K7" s="27">
        <v>225</v>
      </c>
      <c r="L7" s="54" t="s">
        <v>821</v>
      </c>
      <c r="M7" t="str">
        <f t="shared" si="2"/>
        <v>Other Clean Hard Fill</v>
      </c>
    </row>
    <row r="8" spans="1:13" x14ac:dyDescent="0.25">
      <c r="A8" s="24">
        <f t="shared" si="0"/>
        <v>1</v>
      </c>
      <c r="B8" s="25" t="s">
        <v>400</v>
      </c>
      <c r="C8" s="26" t="str">
        <f t="shared" si="1"/>
        <v>Asphalt Grindings (no chunks) (IN)</v>
      </c>
      <c r="D8" s="27">
        <v>20</v>
      </c>
      <c r="E8" s="27">
        <v>24</v>
      </c>
      <c r="F8" s="27">
        <v>32</v>
      </c>
      <c r="G8" s="27">
        <v>44</v>
      </c>
      <c r="H8" s="27">
        <v>48</v>
      </c>
      <c r="I8" s="27">
        <v>52</v>
      </c>
      <c r="J8" s="27" t="s">
        <v>394</v>
      </c>
      <c r="K8" s="27" t="s">
        <v>394</v>
      </c>
      <c r="L8" s="54" t="s">
        <v>821</v>
      </c>
      <c r="M8" t="str">
        <f t="shared" si="2"/>
        <v>Asphalt Grindings</v>
      </c>
    </row>
    <row r="9" spans="1:13" x14ac:dyDescent="0.25">
      <c r="A9" s="24">
        <f t="shared" si="0"/>
        <v>5</v>
      </c>
      <c r="B9" s="25" t="s">
        <v>401</v>
      </c>
      <c r="C9" s="26" t="str">
        <f t="shared" si="1"/>
        <v>Other Clean Hard Fill (IN)</v>
      </c>
      <c r="D9" s="27">
        <v>75</v>
      </c>
      <c r="E9" s="27">
        <v>90</v>
      </c>
      <c r="F9" s="27">
        <v>120</v>
      </c>
      <c r="G9" s="27">
        <v>165</v>
      </c>
      <c r="H9" s="27">
        <v>180</v>
      </c>
      <c r="I9" s="27">
        <v>195</v>
      </c>
      <c r="J9" s="27" t="s">
        <v>394</v>
      </c>
      <c r="K9" s="27" t="s">
        <v>394</v>
      </c>
      <c r="L9" s="54" t="s">
        <v>821</v>
      </c>
      <c r="M9" t="str">
        <f t="shared" si="2"/>
        <v>Other Clean Hard Fill</v>
      </c>
    </row>
    <row r="10" spans="1:13" x14ac:dyDescent="0.25">
      <c r="A10" s="24">
        <f t="shared" si="0"/>
        <v>2</v>
      </c>
      <c r="B10" s="25" t="s">
        <v>402</v>
      </c>
      <c r="C10" s="26" t="str">
        <f t="shared" si="1"/>
        <v>Sand (pre-screened) (IN)</v>
      </c>
      <c r="D10" s="27">
        <v>30</v>
      </c>
      <c r="E10" s="27">
        <v>36</v>
      </c>
      <c r="F10" s="27">
        <v>48</v>
      </c>
      <c r="G10" s="27">
        <v>66</v>
      </c>
      <c r="H10" s="27">
        <v>72</v>
      </c>
      <c r="I10" s="27">
        <v>78</v>
      </c>
      <c r="J10" s="27" t="s">
        <v>394</v>
      </c>
      <c r="K10" s="27" t="s">
        <v>394</v>
      </c>
      <c r="L10" s="54" t="s">
        <v>821</v>
      </c>
      <c r="M10" t="str">
        <f t="shared" si="2"/>
        <v>Sand</v>
      </c>
    </row>
    <row r="11" spans="1:13" x14ac:dyDescent="0.25">
      <c r="A11" s="24">
        <f t="shared" si="0"/>
        <v>5</v>
      </c>
      <c r="B11" s="25" t="s">
        <v>403</v>
      </c>
      <c r="C11" s="26" t="str">
        <f t="shared" si="1"/>
        <v>Rubble (In)</v>
      </c>
      <c r="D11" s="27">
        <v>75</v>
      </c>
      <c r="E11" s="27">
        <v>90</v>
      </c>
      <c r="F11" s="27">
        <v>120</v>
      </c>
      <c r="G11" s="27">
        <v>165</v>
      </c>
      <c r="H11" s="27">
        <v>180</v>
      </c>
      <c r="I11" s="27">
        <v>195</v>
      </c>
      <c r="J11" s="27" t="s">
        <v>394</v>
      </c>
      <c r="K11" s="27" t="s">
        <v>394</v>
      </c>
      <c r="L11" s="54" t="s">
        <v>821</v>
      </c>
      <c r="M11" t="str">
        <f t="shared" si="2"/>
        <v>Rubble</v>
      </c>
    </row>
    <row r="12" spans="1:13" x14ac:dyDescent="0.25">
      <c r="A12" s="24">
        <f t="shared" si="0"/>
        <v>6</v>
      </c>
      <c r="B12" s="25" t="s">
        <v>404</v>
      </c>
      <c r="C12" s="26" t="str">
        <f t="shared" si="1"/>
        <v>Slop (IN)</v>
      </c>
      <c r="D12" s="27">
        <v>500</v>
      </c>
      <c r="E12" s="27">
        <v>600</v>
      </c>
      <c r="F12" s="27">
        <v>800</v>
      </c>
      <c r="G12" s="27">
        <v>1100</v>
      </c>
      <c r="H12" s="27">
        <v>1200</v>
      </c>
      <c r="I12" s="27">
        <v>1300</v>
      </c>
      <c r="J12" s="27">
        <v>500</v>
      </c>
      <c r="K12" s="27" t="s">
        <v>394</v>
      </c>
      <c r="L12" s="54" t="s">
        <v>821</v>
      </c>
      <c r="M12" t="str">
        <f t="shared" si="2"/>
        <v>Slop</v>
      </c>
    </row>
    <row r="13" spans="1:13" x14ac:dyDescent="0.25">
      <c r="A13" s="24">
        <f t="shared" si="0"/>
        <v>5</v>
      </c>
      <c r="B13" s="28" t="s">
        <v>405</v>
      </c>
      <c r="C13" s="26" t="str">
        <f>VLOOKUP(B13,Material,2,FALSE)</f>
        <v>Other Clean Hard Fill (IN)</v>
      </c>
      <c r="D13" s="27">
        <v>75</v>
      </c>
      <c r="E13" s="27">
        <v>90</v>
      </c>
      <c r="F13" s="27">
        <v>120</v>
      </c>
      <c r="G13" s="27">
        <v>165</v>
      </c>
      <c r="H13" s="27">
        <v>180</v>
      </c>
      <c r="I13" s="27">
        <v>195</v>
      </c>
      <c r="J13" s="27" t="s">
        <v>394</v>
      </c>
      <c r="K13" s="27" t="s">
        <v>394</v>
      </c>
      <c r="L13" s="54" t="s">
        <v>821</v>
      </c>
      <c r="M13" t="str">
        <f t="shared" si="2"/>
        <v>Other Clean Hard Fill</v>
      </c>
    </row>
    <row r="14" spans="1:13" x14ac:dyDescent="0.25">
      <c r="A14" s="24">
        <f t="shared" si="0"/>
        <v>2</v>
      </c>
      <c r="B14" s="28" t="s">
        <v>406</v>
      </c>
      <c r="C14" s="26" t="str">
        <f t="shared" si="1"/>
        <v>Compactable Fill Dirt (IN)</v>
      </c>
      <c r="D14" s="27">
        <v>30</v>
      </c>
      <c r="E14" s="27">
        <v>36</v>
      </c>
      <c r="F14" s="27">
        <v>48</v>
      </c>
      <c r="G14" s="27">
        <v>66</v>
      </c>
      <c r="H14" s="27">
        <v>72</v>
      </c>
      <c r="I14" s="27">
        <v>78</v>
      </c>
      <c r="J14" s="27" t="s">
        <v>394</v>
      </c>
      <c r="K14" s="27" t="s">
        <v>394</v>
      </c>
      <c r="L14" s="54" t="s">
        <v>821</v>
      </c>
      <c r="M14" t="str">
        <f t="shared" si="2"/>
        <v>Compactable Fill Dirt</v>
      </c>
    </row>
    <row r="15" spans="1:13" x14ac:dyDescent="0.25">
      <c r="A15" s="24">
        <f t="shared" si="0"/>
        <v>7</v>
      </c>
      <c r="B15" s="28" t="s">
        <v>407</v>
      </c>
      <c r="C15" s="26" t="str">
        <f t="shared" si="1"/>
        <v xml:space="preserve">Certified (IN) </v>
      </c>
      <c r="D15" s="27">
        <v>80</v>
      </c>
      <c r="E15" s="27">
        <v>96</v>
      </c>
      <c r="F15" s="27">
        <v>128</v>
      </c>
      <c r="G15" s="27">
        <v>176</v>
      </c>
      <c r="H15" s="27">
        <v>192</v>
      </c>
      <c r="I15" s="27">
        <v>208</v>
      </c>
      <c r="J15" s="27" t="s">
        <v>394</v>
      </c>
      <c r="K15" s="27" t="s">
        <v>394</v>
      </c>
      <c r="L15" s="54" t="s">
        <v>821</v>
      </c>
      <c r="M15" t="str">
        <f t="shared" si="2"/>
        <v>Certified</v>
      </c>
    </row>
    <row r="16" spans="1:13" x14ac:dyDescent="0.25">
      <c r="A16" s="24">
        <f t="shared" si="0"/>
        <v>20</v>
      </c>
      <c r="B16" s="25" t="s">
        <v>408</v>
      </c>
      <c r="C16" s="26" t="str">
        <f t="shared" si="1"/>
        <v>Bulk Sand (PreScreened) (OUT)</v>
      </c>
      <c r="D16" s="27">
        <v>70</v>
      </c>
      <c r="E16" s="27">
        <v>84</v>
      </c>
      <c r="F16" s="27">
        <v>112</v>
      </c>
      <c r="G16" s="27">
        <v>154</v>
      </c>
      <c r="H16" s="27">
        <v>168</v>
      </c>
      <c r="I16" s="27">
        <v>182</v>
      </c>
      <c r="J16" s="27" t="s">
        <v>394</v>
      </c>
      <c r="K16" s="27" t="s">
        <v>394</v>
      </c>
      <c r="L16" s="54" t="s">
        <v>1088</v>
      </c>
      <c r="M16" t="str">
        <f t="shared" si="2"/>
        <v>Bulk Sand</v>
      </c>
    </row>
    <row r="17" spans="1:13" x14ac:dyDescent="0.25">
      <c r="A17" s="24">
        <f t="shared" si="0"/>
        <v>30</v>
      </c>
      <c r="B17" s="25" t="s">
        <v>409</v>
      </c>
      <c r="C17" s="26" t="str">
        <f t="shared" si="1"/>
        <v>Sand Screened (OUT)</v>
      </c>
      <c r="D17" s="27">
        <v>90</v>
      </c>
      <c r="E17" s="27">
        <v>108</v>
      </c>
      <c r="F17" s="27">
        <v>144</v>
      </c>
      <c r="G17" s="27">
        <v>198</v>
      </c>
      <c r="H17" s="27">
        <v>216</v>
      </c>
      <c r="I17" s="27">
        <v>234</v>
      </c>
      <c r="J17" s="27" t="s">
        <v>394</v>
      </c>
      <c r="K17" s="27" t="s">
        <v>394</v>
      </c>
      <c r="L17" s="54" t="s">
        <v>1088</v>
      </c>
      <c r="M17" t="str">
        <f t="shared" si="2"/>
        <v>Sand Screened</v>
      </c>
    </row>
    <row r="18" spans="1:13" x14ac:dyDescent="0.25">
      <c r="A18" s="24">
        <f t="shared" si="0"/>
        <v>21</v>
      </c>
      <c r="B18" s="25" t="s">
        <v>410</v>
      </c>
      <c r="C18" s="26" t="str">
        <f t="shared" si="1"/>
        <v>Fill Dirt (OUT)</v>
      </c>
      <c r="D18" s="27">
        <v>30</v>
      </c>
      <c r="E18" s="27">
        <v>36</v>
      </c>
      <c r="F18" s="27">
        <v>48</v>
      </c>
      <c r="G18" s="27">
        <v>66</v>
      </c>
      <c r="H18" s="27">
        <v>72</v>
      </c>
      <c r="I18" s="27">
        <v>78</v>
      </c>
      <c r="J18" s="27" t="s">
        <v>394</v>
      </c>
      <c r="K18" s="27" t="s">
        <v>394</v>
      </c>
      <c r="L18" s="54" t="s">
        <v>1088</v>
      </c>
      <c r="M18" t="str">
        <f t="shared" si="2"/>
        <v>Fill Dirt</v>
      </c>
    </row>
    <row r="19" spans="1:13" x14ac:dyDescent="0.25">
      <c r="A19" s="24">
        <f t="shared" si="0"/>
        <v>22</v>
      </c>
      <c r="B19" s="25" t="s">
        <v>411</v>
      </c>
      <c r="C19" s="26" t="str">
        <f t="shared" si="1"/>
        <v>Asphalt Grindings (OUT)</v>
      </c>
      <c r="D19" s="27">
        <v>80</v>
      </c>
      <c r="E19" s="27">
        <v>96</v>
      </c>
      <c r="F19" s="27">
        <v>128</v>
      </c>
      <c r="G19" s="27">
        <v>176</v>
      </c>
      <c r="H19" s="27">
        <v>192</v>
      </c>
      <c r="I19" s="27">
        <v>208</v>
      </c>
      <c r="J19" s="27" t="s">
        <v>394</v>
      </c>
      <c r="K19" s="27" t="s">
        <v>394</v>
      </c>
      <c r="L19" s="54" t="s">
        <v>1088</v>
      </c>
      <c r="M19" t="str">
        <f t="shared" si="2"/>
        <v>Asphalt Grindings</v>
      </c>
    </row>
    <row r="20" spans="1:13" x14ac:dyDescent="0.25">
      <c r="A20" s="24">
        <f t="shared" si="0"/>
        <v>23</v>
      </c>
      <c r="B20" s="25" t="s">
        <v>412</v>
      </c>
      <c r="C20" s="26" t="str">
        <f t="shared" si="1"/>
        <v>Bulk Topsoil (OUT)</v>
      </c>
      <c r="D20" s="27">
        <v>40</v>
      </c>
      <c r="E20" s="27">
        <v>48</v>
      </c>
      <c r="F20" s="27">
        <v>64</v>
      </c>
      <c r="G20" s="27">
        <v>88</v>
      </c>
      <c r="H20" s="27">
        <v>96</v>
      </c>
      <c r="I20" s="27">
        <v>104</v>
      </c>
      <c r="J20" s="27" t="s">
        <v>394</v>
      </c>
      <c r="K20" s="27" t="s">
        <v>394</v>
      </c>
      <c r="L20" s="54" t="s">
        <v>1088</v>
      </c>
      <c r="M20" t="str">
        <f t="shared" si="2"/>
        <v>Bulk Topsoil</v>
      </c>
    </row>
    <row r="21" spans="1:13" x14ac:dyDescent="0.25">
      <c r="A21" s="24">
        <f t="shared" si="0"/>
        <v>31</v>
      </c>
      <c r="B21" s="25" t="s">
        <v>413</v>
      </c>
      <c r="C21" s="26" t="str">
        <f t="shared" si="1"/>
        <v>Screened Topsoil (OUT)</v>
      </c>
      <c r="D21" s="27">
        <v>150</v>
      </c>
      <c r="E21" s="27">
        <v>180</v>
      </c>
      <c r="F21" s="27">
        <v>240</v>
      </c>
      <c r="G21" s="27">
        <v>330</v>
      </c>
      <c r="H21" s="27">
        <v>360</v>
      </c>
      <c r="I21" s="27">
        <v>390</v>
      </c>
      <c r="J21" s="27" t="s">
        <v>394</v>
      </c>
      <c r="K21" s="27" t="s">
        <v>394</v>
      </c>
      <c r="L21" s="54" t="s">
        <v>1088</v>
      </c>
      <c r="M21" t="str">
        <f t="shared" si="2"/>
        <v>Screened Topsoil</v>
      </c>
    </row>
    <row r="22" spans="1:13" x14ac:dyDescent="0.25">
      <c r="A22" s="24">
        <f t="shared" si="0"/>
        <v>10</v>
      </c>
      <c r="B22" s="25" t="s">
        <v>414</v>
      </c>
      <c r="C22" s="26" t="str">
        <f t="shared" si="1"/>
        <v>Yard - Grass,Leaves,Woodchips (In)</v>
      </c>
      <c r="D22" s="27" t="s">
        <v>394</v>
      </c>
      <c r="E22" s="27" t="s">
        <v>394</v>
      </c>
      <c r="F22" s="27" t="s">
        <v>394</v>
      </c>
      <c r="G22" s="27" t="s">
        <v>394</v>
      </c>
      <c r="H22" s="27" t="s">
        <v>394</v>
      </c>
      <c r="I22" s="27" t="s">
        <v>394</v>
      </c>
      <c r="J22" s="27" t="s">
        <v>394</v>
      </c>
      <c r="K22" s="27" t="s">
        <v>394</v>
      </c>
      <c r="L22" s="55" t="s">
        <v>821</v>
      </c>
      <c r="M22" t="str">
        <f t="shared" si="2"/>
        <v>Yard - Grass,Leaves,Woodchips</v>
      </c>
    </row>
    <row r="23" spans="1:13" x14ac:dyDescent="0.25">
      <c r="A23" s="24">
        <f t="shared" si="0"/>
        <v>11</v>
      </c>
      <c r="B23" s="25" t="s">
        <v>415</v>
      </c>
      <c r="C23" s="26" t="str">
        <f t="shared" si="1"/>
        <v>Tree Stumps (In)</v>
      </c>
      <c r="D23" s="27" t="s">
        <v>394</v>
      </c>
      <c r="E23" s="27" t="s">
        <v>394</v>
      </c>
      <c r="F23" s="27" t="s">
        <v>394</v>
      </c>
      <c r="G23" s="27" t="s">
        <v>394</v>
      </c>
      <c r="H23" s="27" t="s">
        <v>394</v>
      </c>
      <c r="I23" s="27" t="s">
        <v>394</v>
      </c>
      <c r="J23" s="27" t="s">
        <v>394</v>
      </c>
      <c r="K23" s="27" t="s">
        <v>394</v>
      </c>
      <c r="L23" s="55" t="s">
        <v>821</v>
      </c>
      <c r="M23" t="str">
        <f t="shared" si="2"/>
        <v>Tree Stumps</v>
      </c>
    </row>
    <row r="24" spans="1:13" x14ac:dyDescent="0.25">
      <c r="A24" s="24">
        <f t="shared" si="0"/>
        <v>32</v>
      </c>
      <c r="B24" s="25">
        <v>304</v>
      </c>
      <c r="C24" s="26" t="str">
        <f t="shared" si="1"/>
        <v>#304 Limestone (Out)</v>
      </c>
      <c r="D24" s="27">
        <v>350</v>
      </c>
      <c r="E24" s="27">
        <v>420</v>
      </c>
      <c r="F24" s="27">
        <v>560</v>
      </c>
      <c r="G24" s="27">
        <v>770</v>
      </c>
      <c r="H24" s="27">
        <v>840</v>
      </c>
      <c r="I24" s="27">
        <v>910</v>
      </c>
      <c r="J24" s="27" t="s">
        <v>394</v>
      </c>
      <c r="K24" s="27" t="s">
        <v>394</v>
      </c>
      <c r="L24" s="54" t="s">
        <v>1088</v>
      </c>
      <c r="M24" t="str">
        <f t="shared" si="2"/>
        <v>#304 Limestone</v>
      </c>
    </row>
    <row r="25" spans="1:13" x14ac:dyDescent="0.25">
      <c r="A25" s="24">
        <f t="shared" si="0"/>
        <v>34</v>
      </c>
      <c r="B25" s="25">
        <v>57</v>
      </c>
      <c r="C25" s="26" t="str">
        <f t="shared" si="1"/>
        <v>#57 Limestone (Out)</v>
      </c>
      <c r="D25" s="27">
        <v>400</v>
      </c>
      <c r="E25" s="27">
        <v>480</v>
      </c>
      <c r="F25" s="27">
        <v>640</v>
      </c>
      <c r="G25" s="27">
        <v>880</v>
      </c>
      <c r="H25" s="27">
        <v>960</v>
      </c>
      <c r="I25" s="27">
        <v>1040</v>
      </c>
      <c r="J25" s="27" t="s">
        <v>394</v>
      </c>
      <c r="K25" s="27" t="s">
        <v>394</v>
      </c>
      <c r="L25" s="54" t="s">
        <v>1088</v>
      </c>
      <c r="M25" t="str">
        <f t="shared" si="2"/>
        <v>#57 Limestone</v>
      </c>
    </row>
    <row r="26" spans="1:13" x14ac:dyDescent="0.25">
      <c r="A26" s="24">
        <f t="shared" si="0"/>
        <v>33</v>
      </c>
      <c r="B26" s="29">
        <v>10</v>
      </c>
      <c r="C26" s="26" t="str">
        <f t="shared" si="1"/>
        <v>#10 Limestone (Out)</v>
      </c>
      <c r="D26" s="30">
        <v>350</v>
      </c>
      <c r="E26" s="30">
        <v>420</v>
      </c>
      <c r="F26" s="30">
        <v>560</v>
      </c>
      <c r="G26" s="30">
        <v>770</v>
      </c>
      <c r="H26" s="30">
        <v>840</v>
      </c>
      <c r="I26" s="30">
        <v>910</v>
      </c>
      <c r="J26" s="30" t="s">
        <v>394</v>
      </c>
      <c r="K26" s="30" t="s">
        <v>394</v>
      </c>
      <c r="L26" s="54" t="s">
        <v>1088</v>
      </c>
      <c r="M26" t="str">
        <f t="shared" si="2"/>
        <v>#10 Limestone</v>
      </c>
    </row>
    <row r="27" spans="1:13" x14ac:dyDescent="0.25">
      <c r="A27" s="24">
        <f>VLOOKUP(B27,CatLU,3,FALSE)</f>
        <v>40</v>
      </c>
      <c r="B27" s="31" t="s">
        <v>416</v>
      </c>
      <c r="C27" s="26" t="str">
        <f>VLOOKUP(B27,Material,2,FALSE)</f>
        <v>#304 Recycled Concrete (Out)</v>
      </c>
      <c r="D27" s="32">
        <v>125</v>
      </c>
      <c r="E27" s="32">
        <v>150</v>
      </c>
      <c r="F27" s="32">
        <v>200</v>
      </c>
      <c r="G27" s="32">
        <v>275</v>
      </c>
      <c r="H27" s="32">
        <v>300</v>
      </c>
      <c r="I27" s="32">
        <v>325</v>
      </c>
      <c r="J27" s="32" t="s">
        <v>394</v>
      </c>
      <c r="K27" s="32" t="s">
        <v>394</v>
      </c>
      <c r="L27" s="54" t="s">
        <v>1088</v>
      </c>
      <c r="M27" t="str">
        <f t="shared" si="2"/>
        <v>#304 Recycled Concrete</v>
      </c>
    </row>
    <row r="28" spans="1:13" x14ac:dyDescent="0.25">
      <c r="A28" s="24">
        <f>VLOOKUP(B28,CatLU,3,FALSE)</f>
        <v>41</v>
      </c>
      <c r="B28" s="31" t="s">
        <v>417</v>
      </c>
      <c r="C28" s="26" t="str">
        <f>VLOOKUP(B28,Material,2,FALSE)</f>
        <v>#1&amp;2 Recycled Concrete (Out)</v>
      </c>
      <c r="D28" s="32">
        <v>140</v>
      </c>
      <c r="E28" s="32">
        <v>168</v>
      </c>
      <c r="F28" s="32">
        <v>224</v>
      </c>
      <c r="G28" s="32">
        <v>308</v>
      </c>
      <c r="H28" s="32">
        <v>336</v>
      </c>
      <c r="I28" s="32">
        <v>364</v>
      </c>
      <c r="J28" s="32" t="s">
        <v>394</v>
      </c>
      <c r="K28" s="32" t="s">
        <v>394</v>
      </c>
      <c r="L28" s="54" t="s">
        <v>1088</v>
      </c>
      <c r="M28" t="str">
        <f t="shared" si="2"/>
        <v>#1&amp;2 Recycled Concrete</v>
      </c>
    </row>
    <row r="29" spans="1:13" x14ac:dyDescent="0.25">
      <c r="A29" s="24">
        <f>VLOOKUP(B29,CatLU,3,FALSE)</f>
        <v>42</v>
      </c>
      <c r="B29" s="31" t="s">
        <v>418</v>
      </c>
      <c r="C29" s="26" t="str">
        <f>VLOOKUP(B29,Material,2,FALSE)</f>
        <v>#57 Recycled Concrete (Out)</v>
      </c>
      <c r="D29" s="32">
        <v>150</v>
      </c>
      <c r="E29" s="32">
        <v>180</v>
      </c>
      <c r="F29" s="32">
        <v>240</v>
      </c>
      <c r="G29" s="32">
        <v>330</v>
      </c>
      <c r="H29" s="32">
        <v>360</v>
      </c>
      <c r="I29" s="32">
        <v>390</v>
      </c>
      <c r="J29" s="32" t="s">
        <v>394</v>
      </c>
      <c r="K29" s="32" t="s">
        <v>394</v>
      </c>
      <c r="L29" s="54" t="s">
        <v>1088</v>
      </c>
      <c r="M29" t="str">
        <f t="shared" si="2"/>
        <v>#57 Recycled Concrete</v>
      </c>
    </row>
    <row r="30" spans="1:13" x14ac:dyDescent="0.25">
      <c r="A30" s="24">
        <f>VLOOKUP(B30,CatLU,3,FALSE)</f>
        <v>80</v>
      </c>
      <c r="B30" s="31" t="s">
        <v>419</v>
      </c>
      <c r="C30" s="26" t="str">
        <f>VLOOKUP(B30,Material,2,FALSE)</f>
        <v>Snow In</v>
      </c>
      <c r="D30" s="32">
        <v>25</v>
      </c>
      <c r="E30" s="32">
        <v>30</v>
      </c>
      <c r="F30" s="32">
        <v>40</v>
      </c>
      <c r="G30" s="32">
        <v>55</v>
      </c>
      <c r="H30" s="32">
        <v>60</v>
      </c>
      <c r="I30" s="32">
        <v>65</v>
      </c>
      <c r="J30" s="32" t="s">
        <v>394</v>
      </c>
      <c r="K30" s="32" t="s">
        <v>394</v>
      </c>
      <c r="L30" s="54" t="s">
        <v>821</v>
      </c>
      <c r="M30" t="str">
        <f t="shared" si="2"/>
        <v>Snow In</v>
      </c>
    </row>
    <row r="31" spans="1:13" x14ac:dyDescent="0.25">
      <c r="A31" s="24">
        <v>14</v>
      </c>
      <c r="B31" s="31" t="s">
        <v>420</v>
      </c>
      <c r="C31" s="26" t="s">
        <v>421</v>
      </c>
      <c r="D31" s="32">
        <v>125</v>
      </c>
      <c r="E31" s="32">
        <v>150</v>
      </c>
      <c r="F31" s="32">
        <v>200</v>
      </c>
      <c r="G31" s="32">
        <v>275</v>
      </c>
      <c r="H31" s="32">
        <v>300</v>
      </c>
      <c r="I31" s="32">
        <v>325</v>
      </c>
      <c r="J31" s="32" t="s">
        <v>394</v>
      </c>
      <c r="K31" s="32" t="s">
        <v>394</v>
      </c>
      <c r="L31" s="54" t="s">
        <v>821</v>
      </c>
      <c r="M31" t="str">
        <f t="shared" si="2"/>
        <v>Wet Dirt w/ Organics</v>
      </c>
    </row>
    <row r="32" spans="1:13" x14ac:dyDescent="0.25">
      <c r="L32" s="54"/>
    </row>
    <row r="33" spans="12:12" x14ac:dyDescent="0.25">
      <c r="L33" s="54"/>
    </row>
    <row r="34" spans="12:12" x14ac:dyDescent="0.25">
      <c r="L34" s="5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174B-7914-4CBA-A738-8D2EBD272F1E}">
  <dimension ref="A1:J148"/>
  <sheetViews>
    <sheetView workbookViewId="0">
      <selection activeCell="X1" sqref="X1:AB1048576"/>
    </sheetView>
  </sheetViews>
  <sheetFormatPr defaultRowHeight="15" x14ac:dyDescent="0.25"/>
  <cols>
    <col min="1" max="1" width="14.5703125" customWidth="1"/>
    <col min="2" max="2" width="35.5703125" customWidth="1"/>
    <col min="3" max="3" width="30.5703125" customWidth="1"/>
    <col min="4" max="4" width="24.7109375" customWidth="1"/>
    <col min="5" max="5" width="19.28515625" customWidth="1"/>
    <col min="6" max="6" width="10.7109375" customWidth="1"/>
    <col min="8" max="8" width="18.140625" customWidth="1"/>
    <col min="9" max="9" width="19.7109375" customWidth="1"/>
    <col min="10" max="10" width="58.7109375" customWidth="1"/>
  </cols>
  <sheetData>
    <row r="1" spans="1:10" x14ac:dyDescent="0.25">
      <c r="A1" t="s">
        <v>422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  <c r="G1" t="s">
        <v>428</v>
      </c>
      <c r="H1" t="s">
        <v>429</v>
      </c>
      <c r="I1" s="33" t="s">
        <v>430</v>
      </c>
      <c r="J1" t="s">
        <v>2</v>
      </c>
    </row>
    <row r="2" spans="1:10" x14ac:dyDescent="0.25">
      <c r="A2" t="s">
        <v>431</v>
      </c>
      <c r="C2" t="s">
        <v>432</v>
      </c>
      <c r="E2" t="s">
        <v>433</v>
      </c>
      <c r="F2" t="s">
        <v>434</v>
      </c>
      <c r="G2">
        <v>44319</v>
      </c>
      <c r="I2" s="33"/>
    </row>
    <row r="3" spans="1:10" x14ac:dyDescent="0.25">
      <c r="A3" s="34" t="s">
        <v>435</v>
      </c>
      <c r="B3" s="34" t="s">
        <v>436</v>
      </c>
      <c r="C3" s="34" t="s">
        <v>437</v>
      </c>
      <c r="D3" s="34"/>
      <c r="E3" s="34" t="s">
        <v>433</v>
      </c>
      <c r="F3" s="34" t="s">
        <v>434</v>
      </c>
      <c r="G3" s="34">
        <v>44306</v>
      </c>
      <c r="H3" s="34"/>
      <c r="I3" s="35"/>
      <c r="J3" s="34"/>
    </row>
    <row r="4" spans="1:10" x14ac:dyDescent="0.25">
      <c r="A4" s="34" t="s">
        <v>438</v>
      </c>
      <c r="B4" s="34" t="s">
        <v>436</v>
      </c>
      <c r="C4" s="34" t="s">
        <v>439</v>
      </c>
      <c r="D4" s="34"/>
      <c r="E4" s="34" t="s">
        <v>433</v>
      </c>
      <c r="F4" s="34" t="s">
        <v>434</v>
      </c>
      <c r="G4" s="34">
        <v>44306</v>
      </c>
      <c r="H4" s="34"/>
      <c r="I4" s="35"/>
      <c r="J4" s="36" t="s">
        <v>440</v>
      </c>
    </row>
    <row r="5" spans="1:10" x14ac:dyDescent="0.25">
      <c r="A5" t="s">
        <v>441</v>
      </c>
      <c r="B5" t="s">
        <v>442</v>
      </c>
      <c r="C5" t="s">
        <v>443</v>
      </c>
      <c r="E5" t="s">
        <v>444</v>
      </c>
      <c r="F5" t="s">
        <v>434</v>
      </c>
      <c r="G5">
        <v>44135</v>
      </c>
      <c r="I5" s="33">
        <v>2163620900</v>
      </c>
    </row>
    <row r="6" spans="1:10" x14ac:dyDescent="0.25">
      <c r="A6" s="34" t="s">
        <v>445</v>
      </c>
      <c r="B6" s="34" t="s">
        <v>446</v>
      </c>
      <c r="C6" s="34" t="s">
        <v>447</v>
      </c>
      <c r="D6" s="34"/>
      <c r="E6" s="34" t="s">
        <v>448</v>
      </c>
      <c r="F6" s="34" t="s">
        <v>434</v>
      </c>
      <c r="G6" s="34">
        <v>44048</v>
      </c>
      <c r="H6" s="34" t="s">
        <v>449</v>
      </c>
      <c r="I6" s="35">
        <v>4403067884</v>
      </c>
      <c r="J6" s="37" t="s">
        <v>450</v>
      </c>
    </row>
    <row r="7" spans="1:10" x14ac:dyDescent="0.25">
      <c r="A7" t="s">
        <v>451</v>
      </c>
      <c r="B7" t="s">
        <v>452</v>
      </c>
      <c r="C7" t="s">
        <v>453</v>
      </c>
      <c r="E7" t="s">
        <v>454</v>
      </c>
      <c r="F7" t="s">
        <v>434</v>
      </c>
      <c r="G7">
        <v>44133</v>
      </c>
      <c r="I7" s="33">
        <v>4405820606</v>
      </c>
    </row>
    <row r="8" spans="1:10" x14ac:dyDescent="0.25">
      <c r="A8" t="s">
        <v>455</v>
      </c>
      <c r="B8" t="s">
        <v>456</v>
      </c>
      <c r="C8" t="s">
        <v>457</v>
      </c>
      <c r="E8" t="s">
        <v>458</v>
      </c>
      <c r="F8" t="s">
        <v>434</v>
      </c>
      <c r="G8">
        <v>44132</v>
      </c>
      <c r="H8" t="s">
        <v>459</v>
      </c>
      <c r="I8" s="33">
        <v>2162896600</v>
      </c>
      <c r="J8" s="38" t="s">
        <v>460</v>
      </c>
    </row>
    <row r="9" spans="1:10" x14ac:dyDescent="0.25">
      <c r="A9" t="s">
        <v>461</v>
      </c>
      <c r="B9" t="s">
        <v>462</v>
      </c>
      <c r="C9" t="s">
        <v>463</v>
      </c>
      <c r="D9" t="s">
        <v>464</v>
      </c>
      <c r="E9" t="s">
        <v>465</v>
      </c>
      <c r="F9" t="s">
        <v>434</v>
      </c>
      <c r="G9">
        <v>44203</v>
      </c>
      <c r="H9" t="s">
        <v>466</v>
      </c>
      <c r="I9" s="33">
        <v>3307534722</v>
      </c>
      <c r="J9" s="38"/>
    </row>
    <row r="10" spans="1:10" x14ac:dyDescent="0.25">
      <c r="A10" t="s">
        <v>467</v>
      </c>
      <c r="B10" t="s">
        <v>468</v>
      </c>
      <c r="C10" t="s">
        <v>469</v>
      </c>
      <c r="E10" t="s">
        <v>470</v>
      </c>
      <c r="F10" t="s">
        <v>434</v>
      </c>
      <c r="G10">
        <v>44026</v>
      </c>
      <c r="H10" t="s">
        <v>471</v>
      </c>
      <c r="I10" s="33">
        <v>4403361590</v>
      </c>
      <c r="J10" s="39" t="s">
        <v>472</v>
      </c>
    </row>
    <row r="11" spans="1:10" x14ac:dyDescent="0.25">
      <c r="A11" t="s">
        <v>473</v>
      </c>
      <c r="B11" t="s">
        <v>474</v>
      </c>
      <c r="I11" s="33"/>
    </row>
    <row r="12" spans="1:10" x14ac:dyDescent="0.25">
      <c r="A12" t="s">
        <v>475</v>
      </c>
      <c r="B12" t="s">
        <v>476</v>
      </c>
      <c r="C12" t="s">
        <v>477</v>
      </c>
      <c r="E12" t="s">
        <v>478</v>
      </c>
      <c r="F12" t="s">
        <v>434</v>
      </c>
      <c r="G12">
        <v>44033</v>
      </c>
      <c r="I12" s="33">
        <v>8003621343</v>
      </c>
      <c r="J12" t="s">
        <v>479</v>
      </c>
    </row>
    <row r="13" spans="1:10" x14ac:dyDescent="0.25">
      <c r="A13" t="s">
        <v>480</v>
      </c>
      <c r="B13" t="s">
        <v>481</v>
      </c>
      <c r="C13" t="s">
        <v>482</v>
      </c>
      <c r="E13" t="s">
        <v>483</v>
      </c>
      <c r="F13" t="s">
        <v>434</v>
      </c>
      <c r="G13">
        <v>44125</v>
      </c>
      <c r="H13" t="s">
        <v>484</v>
      </c>
      <c r="I13" s="33">
        <v>2168232244</v>
      </c>
      <c r="J13" s="38" t="s">
        <v>485</v>
      </c>
    </row>
    <row r="14" spans="1:10" x14ac:dyDescent="0.25">
      <c r="A14" s="40" t="s">
        <v>486</v>
      </c>
      <c r="B14" s="34" t="s">
        <v>487</v>
      </c>
      <c r="C14" s="34" t="s">
        <v>488</v>
      </c>
      <c r="D14" s="34" t="s">
        <v>489</v>
      </c>
      <c r="E14" s="34" t="s">
        <v>444</v>
      </c>
      <c r="F14" s="34" t="s">
        <v>434</v>
      </c>
      <c r="G14" s="34">
        <v>44105</v>
      </c>
      <c r="H14" s="34" t="s">
        <v>490</v>
      </c>
      <c r="I14" s="35" t="s">
        <v>491</v>
      </c>
      <c r="J14" s="41" t="s">
        <v>485</v>
      </c>
    </row>
    <row r="15" spans="1:10" x14ac:dyDescent="0.25">
      <c r="A15" t="s">
        <v>492</v>
      </c>
      <c r="B15" t="s">
        <v>493</v>
      </c>
      <c r="I15" s="33"/>
    </row>
    <row r="16" spans="1:10" x14ac:dyDescent="0.25">
      <c r="A16" s="40" t="s">
        <v>494</v>
      </c>
      <c r="B16" s="40" t="s">
        <v>495</v>
      </c>
      <c r="C16" s="40" t="s">
        <v>496</v>
      </c>
      <c r="D16" s="40"/>
      <c r="E16" s="40" t="s">
        <v>497</v>
      </c>
      <c r="F16" s="40" t="s">
        <v>434</v>
      </c>
      <c r="G16" s="40">
        <v>44278</v>
      </c>
      <c r="H16" s="40" t="s">
        <v>498</v>
      </c>
      <c r="I16" s="42">
        <v>3308199559</v>
      </c>
      <c r="J16" s="37" t="s">
        <v>450</v>
      </c>
    </row>
    <row r="17" spans="1:10" x14ac:dyDescent="0.25">
      <c r="A17" t="s">
        <v>499</v>
      </c>
      <c r="B17" t="s">
        <v>500</v>
      </c>
      <c r="C17" t="s">
        <v>501</v>
      </c>
      <c r="E17" t="s">
        <v>502</v>
      </c>
      <c r="F17" t="s">
        <v>434</v>
      </c>
      <c r="G17">
        <v>44137</v>
      </c>
      <c r="I17" s="33"/>
    </row>
    <row r="18" spans="1:10" x14ac:dyDescent="0.25">
      <c r="A18" t="s">
        <v>503</v>
      </c>
      <c r="B18" t="s">
        <v>504</v>
      </c>
      <c r="C18" t="s">
        <v>505</v>
      </c>
      <c r="E18" t="s">
        <v>506</v>
      </c>
      <c r="F18" t="s">
        <v>434</v>
      </c>
      <c r="G18">
        <v>44265</v>
      </c>
      <c r="H18" t="s">
        <v>507</v>
      </c>
      <c r="I18" s="33" t="s">
        <v>508</v>
      </c>
      <c r="J18" s="38" t="s">
        <v>509</v>
      </c>
    </row>
    <row r="19" spans="1:10" x14ac:dyDescent="0.25">
      <c r="A19" s="40" t="s">
        <v>510</v>
      </c>
      <c r="B19" s="40" t="s">
        <v>511</v>
      </c>
      <c r="C19" s="40" t="s">
        <v>512</v>
      </c>
      <c r="D19" s="40"/>
      <c r="E19" s="40" t="s">
        <v>497</v>
      </c>
      <c r="F19" s="40" t="s">
        <v>434</v>
      </c>
      <c r="G19" s="40">
        <v>44278</v>
      </c>
      <c r="H19" s="40"/>
      <c r="I19" s="42">
        <v>3308199559</v>
      </c>
      <c r="J19" s="37" t="s">
        <v>450</v>
      </c>
    </row>
    <row r="20" spans="1:10" x14ac:dyDescent="0.25">
      <c r="A20" t="s">
        <v>513</v>
      </c>
      <c r="B20" t="s">
        <v>514</v>
      </c>
      <c r="C20" t="s">
        <v>515</v>
      </c>
      <c r="E20" t="s">
        <v>516</v>
      </c>
      <c r="F20" t="s">
        <v>434</v>
      </c>
      <c r="G20">
        <v>44203</v>
      </c>
      <c r="H20" t="s">
        <v>517</v>
      </c>
      <c r="I20" s="33" t="s">
        <v>518</v>
      </c>
      <c r="J20" s="38" t="s">
        <v>519</v>
      </c>
    </row>
    <row r="21" spans="1:10" x14ac:dyDescent="0.25">
      <c r="A21" t="s">
        <v>520</v>
      </c>
      <c r="B21" t="s">
        <v>521</v>
      </c>
      <c r="C21" t="s">
        <v>522</v>
      </c>
      <c r="E21" t="s">
        <v>523</v>
      </c>
      <c r="F21" t="s">
        <v>434</v>
      </c>
      <c r="G21">
        <v>44147</v>
      </c>
      <c r="H21" t="s">
        <v>524</v>
      </c>
      <c r="I21" s="33">
        <v>4405262622</v>
      </c>
    </row>
    <row r="22" spans="1:10" x14ac:dyDescent="0.25">
      <c r="A22" t="s">
        <v>525</v>
      </c>
      <c r="B22" t="s">
        <v>526</v>
      </c>
      <c r="C22" t="s">
        <v>527</v>
      </c>
      <c r="E22" t="s">
        <v>470</v>
      </c>
      <c r="F22" t="s">
        <v>434</v>
      </c>
      <c r="G22">
        <v>44026</v>
      </c>
      <c r="I22" s="33">
        <v>4407292122</v>
      </c>
      <c r="J22" s="38" t="s">
        <v>528</v>
      </c>
    </row>
    <row r="23" spans="1:10" x14ac:dyDescent="0.25">
      <c r="A23" s="43" t="s">
        <v>529</v>
      </c>
      <c r="B23" s="43" t="s">
        <v>530</v>
      </c>
      <c r="C23" s="43" t="s">
        <v>531</v>
      </c>
      <c r="D23" s="43" t="s">
        <v>532</v>
      </c>
      <c r="E23" s="43" t="s">
        <v>533</v>
      </c>
      <c r="F23" s="43" t="s">
        <v>434</v>
      </c>
      <c r="G23" s="43">
        <v>44256</v>
      </c>
      <c r="H23" s="44"/>
      <c r="I23" s="45" t="s">
        <v>534</v>
      </c>
      <c r="J23" s="44" t="s">
        <v>535</v>
      </c>
    </row>
    <row r="24" spans="1:10" x14ac:dyDescent="0.25">
      <c r="A24" t="s">
        <v>536</v>
      </c>
      <c r="B24" t="s">
        <v>537</v>
      </c>
      <c r="C24" t="s">
        <v>538</v>
      </c>
      <c r="E24" t="s">
        <v>539</v>
      </c>
      <c r="F24" t="s">
        <v>434</v>
      </c>
      <c r="G24">
        <v>44023</v>
      </c>
      <c r="H24" t="s">
        <v>540</v>
      </c>
      <c r="I24" s="33" t="s">
        <v>541</v>
      </c>
    </row>
    <row r="25" spans="1:10" x14ac:dyDescent="0.25">
      <c r="A25" s="40" t="s">
        <v>542</v>
      </c>
      <c r="B25" s="34" t="s">
        <v>543</v>
      </c>
      <c r="C25" s="34" t="s">
        <v>544</v>
      </c>
      <c r="D25" s="34"/>
      <c r="E25" s="34" t="s">
        <v>545</v>
      </c>
      <c r="F25" s="34" t="s">
        <v>434</v>
      </c>
      <c r="G25" s="34">
        <v>44065</v>
      </c>
      <c r="H25" s="41" t="s">
        <v>546</v>
      </c>
      <c r="I25" s="35">
        <v>4405641011</v>
      </c>
      <c r="J25" s="37" t="s">
        <v>450</v>
      </c>
    </row>
    <row r="26" spans="1:10" x14ac:dyDescent="0.25">
      <c r="A26" t="s">
        <v>547</v>
      </c>
      <c r="B26" t="s">
        <v>548</v>
      </c>
      <c r="C26" t="s">
        <v>549</v>
      </c>
      <c r="E26" t="s">
        <v>523</v>
      </c>
      <c r="F26" t="s">
        <v>434</v>
      </c>
      <c r="G26">
        <v>44141</v>
      </c>
      <c r="H26" t="s">
        <v>550</v>
      </c>
      <c r="I26" s="33">
        <v>2167549626</v>
      </c>
      <c r="J26" s="38" t="s">
        <v>551</v>
      </c>
    </row>
    <row r="27" spans="1:10" x14ac:dyDescent="0.25">
      <c r="A27" t="s">
        <v>552</v>
      </c>
      <c r="B27" t="s">
        <v>553</v>
      </c>
      <c r="C27" t="s">
        <v>554</v>
      </c>
      <c r="I27" s="33"/>
    </row>
    <row r="28" spans="1:10" x14ac:dyDescent="0.25">
      <c r="A28" t="s">
        <v>555</v>
      </c>
      <c r="B28" t="s">
        <v>556</v>
      </c>
      <c r="C28" t="s">
        <v>557</v>
      </c>
      <c r="E28" t="s">
        <v>558</v>
      </c>
      <c r="F28" t="s">
        <v>434</v>
      </c>
      <c r="G28">
        <v>44146</v>
      </c>
      <c r="I28" s="33">
        <v>4405404730</v>
      </c>
    </row>
    <row r="29" spans="1:10" x14ac:dyDescent="0.25">
      <c r="A29" t="s">
        <v>559</v>
      </c>
      <c r="B29" t="s">
        <v>560</v>
      </c>
      <c r="C29" t="s">
        <v>561</v>
      </c>
      <c r="E29" t="s">
        <v>562</v>
      </c>
      <c r="F29" t="s">
        <v>434</v>
      </c>
      <c r="G29">
        <v>44012</v>
      </c>
      <c r="H29" t="s">
        <v>563</v>
      </c>
      <c r="I29" s="33">
        <v>2164692440</v>
      </c>
      <c r="J29" s="38" t="s">
        <v>564</v>
      </c>
    </row>
    <row r="30" spans="1:10" x14ac:dyDescent="0.25">
      <c r="A30" t="s">
        <v>565</v>
      </c>
      <c r="B30" t="s">
        <v>566</v>
      </c>
      <c r="I30" s="33"/>
    </row>
    <row r="31" spans="1:10" x14ac:dyDescent="0.25">
      <c r="A31" t="s">
        <v>567</v>
      </c>
      <c r="B31" t="s">
        <v>568</v>
      </c>
      <c r="C31" t="s">
        <v>569</v>
      </c>
      <c r="E31" t="s">
        <v>570</v>
      </c>
      <c r="F31" t="s">
        <v>434</v>
      </c>
      <c r="G31">
        <v>44021</v>
      </c>
      <c r="I31" s="33">
        <v>4405432903</v>
      </c>
    </row>
    <row r="32" spans="1:10" x14ac:dyDescent="0.25">
      <c r="A32" t="s">
        <v>571</v>
      </c>
      <c r="B32" t="s">
        <v>572</v>
      </c>
      <c r="C32" t="s">
        <v>573</v>
      </c>
      <c r="E32" t="s">
        <v>562</v>
      </c>
      <c r="F32" t="s">
        <v>434</v>
      </c>
      <c r="G32">
        <v>44012</v>
      </c>
      <c r="I32" s="33">
        <v>2164692440</v>
      </c>
    </row>
    <row r="33" spans="1:10" x14ac:dyDescent="0.25">
      <c r="A33" t="s">
        <v>574</v>
      </c>
      <c r="B33" t="s">
        <v>575</v>
      </c>
      <c r="I33" s="33"/>
    </row>
    <row r="34" spans="1:10" x14ac:dyDescent="0.25">
      <c r="A34" t="s">
        <v>576</v>
      </c>
      <c r="B34" t="s">
        <v>577</v>
      </c>
      <c r="I34" s="33"/>
    </row>
    <row r="35" spans="1:10" x14ac:dyDescent="0.25">
      <c r="A35" t="s">
        <v>578</v>
      </c>
      <c r="B35" t="s">
        <v>579</v>
      </c>
      <c r="C35" t="s">
        <v>580</v>
      </c>
      <c r="E35" t="s">
        <v>581</v>
      </c>
      <c r="F35" t="s">
        <v>434</v>
      </c>
      <c r="G35">
        <v>44125</v>
      </c>
      <c r="H35" t="s">
        <v>582</v>
      </c>
      <c r="I35" s="33"/>
      <c r="J35" s="38" t="s">
        <v>583</v>
      </c>
    </row>
    <row r="36" spans="1:10" x14ac:dyDescent="0.25">
      <c r="A36" t="s">
        <v>584</v>
      </c>
      <c r="B36" t="s">
        <v>585</v>
      </c>
      <c r="C36" t="s">
        <v>586</v>
      </c>
      <c r="D36" t="s">
        <v>587</v>
      </c>
      <c r="E36" t="s">
        <v>588</v>
      </c>
      <c r="F36" t="s">
        <v>434</v>
      </c>
      <c r="G36">
        <v>44094</v>
      </c>
      <c r="I36" s="33">
        <v>4404879868</v>
      </c>
    </row>
    <row r="37" spans="1:10" x14ac:dyDescent="0.25">
      <c r="A37" t="s">
        <v>589</v>
      </c>
      <c r="B37" t="s">
        <v>590</v>
      </c>
      <c r="C37" t="s">
        <v>591</v>
      </c>
      <c r="E37" t="s">
        <v>592</v>
      </c>
      <c r="F37" t="s">
        <v>434</v>
      </c>
      <c r="G37">
        <v>44124</v>
      </c>
      <c r="I37" s="33"/>
    </row>
    <row r="38" spans="1:10" x14ac:dyDescent="0.25">
      <c r="A38" t="s">
        <v>593</v>
      </c>
      <c r="B38" t="s">
        <v>594</v>
      </c>
      <c r="C38" t="s">
        <v>595</v>
      </c>
      <c r="E38" t="s">
        <v>596</v>
      </c>
      <c r="F38" t="s">
        <v>434</v>
      </c>
      <c r="G38">
        <v>44131</v>
      </c>
      <c r="I38" s="33">
        <v>2162677705</v>
      </c>
      <c r="J38" s="38" t="s">
        <v>597</v>
      </c>
    </row>
    <row r="39" spans="1:10" x14ac:dyDescent="0.25">
      <c r="A39" t="s">
        <v>598</v>
      </c>
      <c r="B39" t="s">
        <v>599</v>
      </c>
      <c r="C39" t="s">
        <v>600</v>
      </c>
      <c r="E39" t="s">
        <v>601</v>
      </c>
      <c r="F39" t="s">
        <v>434</v>
      </c>
      <c r="G39">
        <v>44145</v>
      </c>
      <c r="I39" s="33">
        <v>2164027526</v>
      </c>
    </row>
    <row r="40" spans="1:10" x14ac:dyDescent="0.25">
      <c r="A40" t="s">
        <v>602</v>
      </c>
      <c r="B40" t="s">
        <v>603</v>
      </c>
      <c r="C40" t="s">
        <v>604</v>
      </c>
      <c r="E40" t="s">
        <v>605</v>
      </c>
      <c r="F40" t="s">
        <v>434</v>
      </c>
      <c r="G40">
        <v>44022</v>
      </c>
      <c r="I40" s="33" t="s">
        <v>606</v>
      </c>
      <c r="J40" s="46" t="s">
        <v>607</v>
      </c>
    </row>
    <row r="41" spans="1:10" x14ac:dyDescent="0.25">
      <c r="A41" t="s">
        <v>608</v>
      </c>
      <c r="B41" t="s">
        <v>609</v>
      </c>
      <c r="C41" t="s">
        <v>554</v>
      </c>
      <c r="E41" t="s">
        <v>610</v>
      </c>
      <c r="F41" t="s">
        <v>434</v>
      </c>
      <c r="G41">
        <v>44125</v>
      </c>
      <c r="I41" s="33"/>
    </row>
    <row r="42" spans="1:10" x14ac:dyDescent="0.25">
      <c r="A42" t="s">
        <v>611</v>
      </c>
      <c r="B42" t="s">
        <v>612</v>
      </c>
      <c r="C42" t="s">
        <v>613</v>
      </c>
      <c r="E42" t="s">
        <v>483</v>
      </c>
      <c r="F42" t="s">
        <v>434</v>
      </c>
      <c r="G42">
        <v>44125</v>
      </c>
      <c r="I42" s="33">
        <v>4404395455</v>
      </c>
    </row>
    <row r="43" spans="1:10" x14ac:dyDescent="0.25">
      <c r="A43" t="s">
        <v>614</v>
      </c>
      <c r="B43" t="s">
        <v>615</v>
      </c>
      <c r="C43" t="s">
        <v>616</v>
      </c>
      <c r="E43" t="s">
        <v>558</v>
      </c>
      <c r="F43" t="s">
        <v>434</v>
      </c>
      <c r="G43">
        <v>441461006</v>
      </c>
      <c r="H43" t="s">
        <v>617</v>
      </c>
      <c r="I43" s="33">
        <v>2165818600</v>
      </c>
    </row>
    <row r="44" spans="1:10" x14ac:dyDescent="0.25">
      <c r="A44" t="s">
        <v>618</v>
      </c>
      <c r="B44" t="s">
        <v>619</v>
      </c>
      <c r="C44" t="s">
        <v>620</v>
      </c>
      <c r="E44" t="s">
        <v>444</v>
      </c>
      <c r="F44" t="s">
        <v>434</v>
      </c>
      <c r="G44">
        <v>44133</v>
      </c>
      <c r="I44" s="33">
        <v>4402373292</v>
      </c>
      <c r="J44" s="38" t="s">
        <v>621</v>
      </c>
    </row>
    <row r="45" spans="1:10" x14ac:dyDescent="0.25">
      <c r="A45" s="43" t="s">
        <v>622</v>
      </c>
      <c r="B45" s="43" t="s">
        <v>623</v>
      </c>
      <c r="C45" s="43" t="s">
        <v>624</v>
      </c>
      <c r="D45" s="43"/>
      <c r="E45" s="43" t="s">
        <v>533</v>
      </c>
      <c r="F45" s="43" t="s">
        <v>434</v>
      </c>
      <c r="G45" s="43">
        <v>44256</v>
      </c>
      <c r="H45" s="43"/>
      <c r="I45" s="45">
        <v>3302392379</v>
      </c>
      <c r="J45" s="44" t="s">
        <v>625</v>
      </c>
    </row>
    <row r="46" spans="1:10" x14ac:dyDescent="0.25">
      <c r="A46" t="s">
        <v>626</v>
      </c>
      <c r="B46" t="s">
        <v>627</v>
      </c>
      <c r="C46" t="s">
        <v>628</v>
      </c>
      <c r="D46" t="s">
        <v>629</v>
      </c>
      <c r="E46" t="s">
        <v>630</v>
      </c>
      <c r="F46" t="s">
        <v>434</v>
      </c>
      <c r="G46">
        <v>44131</v>
      </c>
      <c r="I46" s="33"/>
    </row>
    <row r="47" spans="1:10" x14ac:dyDescent="0.25">
      <c r="A47" t="s">
        <v>631</v>
      </c>
      <c r="B47" t="s">
        <v>632</v>
      </c>
      <c r="C47" t="s">
        <v>633</v>
      </c>
      <c r="E47" t="s">
        <v>634</v>
      </c>
      <c r="F47" t="s">
        <v>434</v>
      </c>
      <c r="G47">
        <v>44060</v>
      </c>
      <c r="I47" s="33" t="s">
        <v>635</v>
      </c>
      <c r="J47" s="38" t="s">
        <v>636</v>
      </c>
    </row>
    <row r="48" spans="1:10" x14ac:dyDescent="0.25">
      <c r="A48" t="s">
        <v>637</v>
      </c>
      <c r="B48" t="s">
        <v>638</v>
      </c>
      <c r="C48" t="s">
        <v>639</v>
      </c>
      <c r="E48" t="s">
        <v>470</v>
      </c>
      <c r="F48" t="s">
        <v>434</v>
      </c>
      <c r="G48">
        <v>44026</v>
      </c>
      <c r="I48" s="33">
        <v>4407086125</v>
      </c>
    </row>
    <row r="49" spans="1:10" x14ac:dyDescent="0.25">
      <c r="A49" t="s">
        <v>640</v>
      </c>
      <c r="B49" t="s">
        <v>641</v>
      </c>
      <c r="C49" t="s">
        <v>642</v>
      </c>
      <c r="E49" t="s">
        <v>643</v>
      </c>
      <c r="F49" t="s">
        <v>434</v>
      </c>
      <c r="G49">
        <v>44460</v>
      </c>
      <c r="H49" t="s">
        <v>644</v>
      </c>
      <c r="I49" s="33" t="s">
        <v>645</v>
      </c>
      <c r="J49" s="38" t="s">
        <v>646</v>
      </c>
    </row>
    <row r="50" spans="1:10" x14ac:dyDescent="0.25">
      <c r="A50" t="s">
        <v>647</v>
      </c>
      <c r="B50" t="s">
        <v>648</v>
      </c>
      <c r="C50" t="s">
        <v>649</v>
      </c>
      <c r="E50" t="s">
        <v>650</v>
      </c>
      <c r="F50" t="s">
        <v>434</v>
      </c>
      <c r="G50">
        <v>44240</v>
      </c>
      <c r="H50" t="s">
        <v>651</v>
      </c>
      <c r="I50" s="33">
        <v>3306735501</v>
      </c>
      <c r="J50" s="38" t="s">
        <v>652</v>
      </c>
    </row>
    <row r="51" spans="1:10" x14ac:dyDescent="0.25">
      <c r="A51" t="s">
        <v>653</v>
      </c>
      <c r="B51" t="s">
        <v>654</v>
      </c>
      <c r="C51" t="s">
        <v>655</v>
      </c>
      <c r="E51" t="s">
        <v>610</v>
      </c>
      <c r="F51" t="s">
        <v>434</v>
      </c>
      <c r="G51">
        <v>44125</v>
      </c>
      <c r="I51" s="33">
        <v>2162062600</v>
      </c>
    </row>
    <row r="52" spans="1:10" x14ac:dyDescent="0.25">
      <c r="A52" t="s">
        <v>656</v>
      </c>
      <c r="B52" t="s">
        <v>657</v>
      </c>
      <c r="C52" s="47" t="s">
        <v>658</v>
      </c>
      <c r="E52" t="s">
        <v>444</v>
      </c>
      <c r="F52" t="s">
        <v>434</v>
      </c>
      <c r="G52">
        <v>44103</v>
      </c>
      <c r="I52" s="33">
        <v>2164316962</v>
      </c>
    </row>
    <row r="53" spans="1:10" x14ac:dyDescent="0.25">
      <c r="A53" t="s">
        <v>659</v>
      </c>
      <c r="B53" t="s">
        <v>660</v>
      </c>
      <c r="C53" t="s">
        <v>661</v>
      </c>
      <c r="E53" t="s">
        <v>444</v>
      </c>
      <c r="F53" t="s">
        <v>434</v>
      </c>
      <c r="G53">
        <v>44128</v>
      </c>
      <c r="I53" s="33">
        <v>2165811000</v>
      </c>
      <c r="J53" s="38" t="s">
        <v>662</v>
      </c>
    </row>
    <row r="54" spans="1:10" x14ac:dyDescent="0.25">
      <c r="A54" t="s">
        <v>663</v>
      </c>
      <c r="B54" t="s">
        <v>664</v>
      </c>
      <c r="C54" t="s">
        <v>665</v>
      </c>
      <c r="E54" t="s">
        <v>666</v>
      </c>
      <c r="F54" t="s">
        <v>434</v>
      </c>
      <c r="G54">
        <v>44024</v>
      </c>
      <c r="H54" t="s">
        <v>667</v>
      </c>
      <c r="I54" s="33">
        <v>2168702047</v>
      </c>
      <c r="J54" s="38" t="s">
        <v>668</v>
      </c>
    </row>
    <row r="55" spans="1:10" x14ac:dyDescent="0.25">
      <c r="A55" t="s">
        <v>669</v>
      </c>
      <c r="B55" t="s">
        <v>670</v>
      </c>
      <c r="C55" t="s">
        <v>671</v>
      </c>
      <c r="E55" t="s">
        <v>444</v>
      </c>
      <c r="F55" t="s">
        <v>434</v>
      </c>
      <c r="G55">
        <v>44135</v>
      </c>
      <c r="I55" s="33">
        <v>2166713770</v>
      </c>
    </row>
    <row r="56" spans="1:10" x14ac:dyDescent="0.25">
      <c r="A56" s="40" t="s">
        <v>672</v>
      </c>
      <c r="B56" s="40" t="s">
        <v>673</v>
      </c>
      <c r="C56" s="40" t="s">
        <v>674</v>
      </c>
      <c r="D56" s="40"/>
      <c r="E56" s="40" t="s">
        <v>483</v>
      </c>
      <c r="F56" s="40" t="s">
        <v>434</v>
      </c>
      <c r="G56" s="40">
        <v>44125</v>
      </c>
      <c r="H56" s="40"/>
      <c r="I56" s="42">
        <v>2164751107</v>
      </c>
      <c r="J56" s="40"/>
    </row>
    <row r="57" spans="1:10" x14ac:dyDescent="0.25">
      <c r="A57" t="s">
        <v>675</v>
      </c>
      <c r="B57" t="s">
        <v>676</v>
      </c>
      <c r="C57" t="s">
        <v>677</v>
      </c>
      <c r="E57" t="s">
        <v>678</v>
      </c>
      <c r="F57" t="s">
        <v>434</v>
      </c>
      <c r="G57">
        <v>44720</v>
      </c>
      <c r="I57" s="33">
        <v>3304943542</v>
      </c>
    </row>
    <row r="58" spans="1:10" x14ac:dyDescent="0.25">
      <c r="A58" t="s">
        <v>679</v>
      </c>
      <c r="B58" t="s">
        <v>680</v>
      </c>
      <c r="I58" s="33"/>
    </row>
    <row r="59" spans="1:10" x14ac:dyDescent="0.25">
      <c r="A59" t="s">
        <v>681</v>
      </c>
      <c r="B59" t="s">
        <v>682</v>
      </c>
      <c r="C59" t="s">
        <v>683</v>
      </c>
      <c r="D59" t="s">
        <v>684</v>
      </c>
      <c r="E59" t="s">
        <v>545</v>
      </c>
      <c r="F59" t="s">
        <v>434</v>
      </c>
      <c r="G59">
        <v>44065</v>
      </c>
      <c r="I59" s="33">
        <v>4407294525</v>
      </c>
    </row>
    <row r="60" spans="1:10" x14ac:dyDescent="0.25">
      <c r="A60" t="s">
        <v>685</v>
      </c>
      <c r="B60" t="s">
        <v>686</v>
      </c>
      <c r="C60" t="s">
        <v>687</v>
      </c>
      <c r="E60" t="s">
        <v>688</v>
      </c>
      <c r="F60" t="s">
        <v>434</v>
      </c>
      <c r="G60">
        <v>44266</v>
      </c>
      <c r="I60" s="33"/>
    </row>
    <row r="61" spans="1:10" x14ac:dyDescent="0.25">
      <c r="A61" t="s">
        <v>689</v>
      </c>
      <c r="B61" t="s">
        <v>690</v>
      </c>
      <c r="C61" t="s">
        <v>691</v>
      </c>
      <c r="E61" t="s">
        <v>634</v>
      </c>
      <c r="F61" t="s">
        <v>434</v>
      </c>
      <c r="G61">
        <v>44060</v>
      </c>
      <c r="I61" s="33"/>
    </row>
    <row r="62" spans="1:10" x14ac:dyDescent="0.25">
      <c r="A62" t="s">
        <v>692</v>
      </c>
      <c r="B62" t="s">
        <v>693</v>
      </c>
      <c r="I62" s="33"/>
    </row>
    <row r="63" spans="1:10" x14ac:dyDescent="0.25">
      <c r="A63" t="s">
        <v>694</v>
      </c>
      <c r="B63" t="s">
        <v>695</v>
      </c>
      <c r="C63" t="s">
        <v>696</v>
      </c>
      <c r="E63" t="s">
        <v>444</v>
      </c>
      <c r="F63" t="s">
        <v>434</v>
      </c>
      <c r="G63">
        <v>44128</v>
      </c>
      <c r="I63" s="33">
        <v>2165815809</v>
      </c>
    </row>
    <row r="64" spans="1:10" x14ac:dyDescent="0.25">
      <c r="A64" t="s">
        <v>697</v>
      </c>
      <c r="B64" t="s">
        <v>698</v>
      </c>
      <c r="C64" t="s">
        <v>699</v>
      </c>
      <c r="E64" t="s">
        <v>444</v>
      </c>
      <c r="F64" t="s">
        <v>434</v>
      </c>
      <c r="G64">
        <v>44135</v>
      </c>
      <c r="I64" s="33">
        <v>2166719333</v>
      </c>
      <c r="J64" s="38" t="s">
        <v>700</v>
      </c>
    </row>
    <row r="65" spans="1:10" x14ac:dyDescent="0.25">
      <c r="A65" t="s">
        <v>701</v>
      </c>
      <c r="B65" t="s">
        <v>702</v>
      </c>
      <c r="C65" t="s">
        <v>703</v>
      </c>
      <c r="E65" t="s">
        <v>523</v>
      </c>
      <c r="F65" t="s">
        <v>434</v>
      </c>
      <c r="G65">
        <v>44141</v>
      </c>
      <c r="H65" t="s">
        <v>704</v>
      </c>
      <c r="I65" s="33">
        <v>4408233669</v>
      </c>
      <c r="J65" s="38" t="s">
        <v>705</v>
      </c>
    </row>
    <row r="66" spans="1:10" x14ac:dyDescent="0.25">
      <c r="A66" t="s">
        <v>706</v>
      </c>
      <c r="B66" t="s">
        <v>707</v>
      </c>
      <c r="C66" t="s">
        <v>708</v>
      </c>
      <c r="E66" t="s">
        <v>709</v>
      </c>
      <c r="F66" t="s">
        <v>434</v>
      </c>
      <c r="G66">
        <v>44067</v>
      </c>
      <c r="H66" t="s">
        <v>517</v>
      </c>
      <c r="I66" s="33" t="s">
        <v>710</v>
      </c>
      <c r="J66" s="38" t="s">
        <v>711</v>
      </c>
    </row>
    <row r="67" spans="1:10" x14ac:dyDescent="0.25">
      <c r="A67" t="s">
        <v>712</v>
      </c>
      <c r="B67" t="s">
        <v>713</v>
      </c>
      <c r="C67" t="s">
        <v>714</v>
      </c>
      <c r="E67" t="s">
        <v>715</v>
      </c>
      <c r="F67" t="s">
        <v>434</v>
      </c>
      <c r="G67">
        <v>44406</v>
      </c>
      <c r="I67" s="33"/>
    </row>
    <row r="68" spans="1:10" x14ac:dyDescent="0.25">
      <c r="A68" t="s">
        <v>716</v>
      </c>
      <c r="B68" t="s">
        <v>717</v>
      </c>
      <c r="C68" t="s">
        <v>718</v>
      </c>
      <c r="E68" t="s">
        <v>497</v>
      </c>
      <c r="F68" t="s">
        <v>434</v>
      </c>
      <c r="G68">
        <v>44278</v>
      </c>
      <c r="I68" s="33">
        <v>3306331258</v>
      </c>
    </row>
    <row r="69" spans="1:10" x14ac:dyDescent="0.25">
      <c r="A69" t="s">
        <v>719</v>
      </c>
      <c r="B69" t="s">
        <v>720</v>
      </c>
      <c r="C69" t="s">
        <v>721</v>
      </c>
      <c r="E69" t="s">
        <v>722</v>
      </c>
      <c r="F69" t="s">
        <v>434</v>
      </c>
      <c r="G69">
        <v>44224</v>
      </c>
      <c r="H69" t="s">
        <v>723</v>
      </c>
      <c r="I69" s="33" t="s">
        <v>724</v>
      </c>
      <c r="J69" s="38" t="s">
        <v>725</v>
      </c>
    </row>
    <row r="70" spans="1:10" x14ac:dyDescent="0.25">
      <c r="A70" s="40" t="s">
        <v>726</v>
      </c>
      <c r="B70" s="34" t="s">
        <v>727</v>
      </c>
      <c r="C70" s="34"/>
      <c r="D70" s="34"/>
      <c r="E70" s="34"/>
      <c r="F70" s="34"/>
      <c r="G70" s="34"/>
      <c r="H70" s="34"/>
      <c r="I70" s="35"/>
      <c r="J70" s="34"/>
    </row>
    <row r="71" spans="1:10" x14ac:dyDescent="0.25">
      <c r="A71" t="s">
        <v>728</v>
      </c>
      <c r="B71" t="s">
        <v>729</v>
      </c>
      <c r="C71" t="s">
        <v>730</v>
      </c>
      <c r="E71" t="s">
        <v>731</v>
      </c>
      <c r="F71" t="s">
        <v>434</v>
      </c>
      <c r="G71">
        <v>44273</v>
      </c>
      <c r="I71" s="33">
        <v>3307693161</v>
      </c>
    </row>
    <row r="72" spans="1:10" x14ac:dyDescent="0.25">
      <c r="A72" t="s">
        <v>732</v>
      </c>
      <c r="B72" t="s">
        <v>733</v>
      </c>
      <c r="C72" t="s">
        <v>734</v>
      </c>
      <c r="E72" t="s">
        <v>735</v>
      </c>
      <c r="F72" t="s">
        <v>434</v>
      </c>
      <c r="G72">
        <v>44095</v>
      </c>
      <c r="H72" t="s">
        <v>736</v>
      </c>
      <c r="I72" s="33">
        <v>4409512266</v>
      </c>
    </row>
    <row r="73" spans="1:10" x14ac:dyDescent="0.25">
      <c r="A73" t="s">
        <v>737</v>
      </c>
      <c r="B73" t="s">
        <v>738</v>
      </c>
      <c r="C73" t="s">
        <v>739</v>
      </c>
      <c r="D73" t="s">
        <v>740</v>
      </c>
      <c r="E73" t="s">
        <v>741</v>
      </c>
      <c r="F73" t="s">
        <v>434</v>
      </c>
      <c r="G73">
        <v>43019</v>
      </c>
      <c r="H73" t="s">
        <v>742</v>
      </c>
      <c r="I73" s="33" t="s">
        <v>743</v>
      </c>
      <c r="J73" s="38" t="s">
        <v>744</v>
      </c>
    </row>
    <row r="74" spans="1:10" x14ac:dyDescent="0.25">
      <c r="A74" t="s">
        <v>745</v>
      </c>
      <c r="B74" t="s">
        <v>746</v>
      </c>
      <c r="C74" t="s">
        <v>747</v>
      </c>
      <c r="E74" t="s">
        <v>748</v>
      </c>
      <c r="F74" t="s">
        <v>434</v>
      </c>
      <c r="G74">
        <v>44011</v>
      </c>
      <c r="I74" s="33">
        <v>4409341008</v>
      </c>
      <c r="J74" s="38" t="s">
        <v>749</v>
      </c>
    </row>
    <row r="75" spans="1:10" x14ac:dyDescent="0.25">
      <c r="A75" t="s">
        <v>750</v>
      </c>
      <c r="B75" t="s">
        <v>751</v>
      </c>
      <c r="C75" t="s">
        <v>752</v>
      </c>
      <c r="E75" t="s">
        <v>741</v>
      </c>
      <c r="F75" t="s">
        <v>434</v>
      </c>
      <c r="G75">
        <v>43019</v>
      </c>
      <c r="H75" t="s">
        <v>753</v>
      </c>
      <c r="I75" s="33">
        <v>7408484960</v>
      </c>
      <c r="J75" s="38" t="s">
        <v>754</v>
      </c>
    </row>
    <row r="76" spans="1:10" x14ac:dyDescent="0.25">
      <c r="A76" t="s">
        <v>755</v>
      </c>
      <c r="B76" t="s">
        <v>756</v>
      </c>
      <c r="C76" t="s">
        <v>757</v>
      </c>
      <c r="D76" t="s">
        <v>758</v>
      </c>
      <c r="E76" t="s">
        <v>759</v>
      </c>
      <c r="F76" t="s">
        <v>434</v>
      </c>
      <c r="G76">
        <v>44212</v>
      </c>
      <c r="I76" s="33">
        <v>3302735747</v>
      </c>
    </row>
    <row r="77" spans="1:10" x14ac:dyDescent="0.25">
      <c r="A77" t="s">
        <v>760</v>
      </c>
      <c r="B77" t="s">
        <v>761</v>
      </c>
      <c r="C77" t="s">
        <v>620</v>
      </c>
      <c r="E77" t="s">
        <v>444</v>
      </c>
      <c r="F77" t="s">
        <v>434</v>
      </c>
      <c r="G77">
        <v>44133</v>
      </c>
      <c r="H77" t="s">
        <v>762</v>
      </c>
      <c r="I77" s="33">
        <v>4402373292</v>
      </c>
      <c r="J77" s="48" t="s">
        <v>460</v>
      </c>
    </row>
    <row r="78" spans="1:10" x14ac:dyDescent="0.25">
      <c r="A78" t="s">
        <v>763</v>
      </c>
      <c r="B78" t="s">
        <v>764</v>
      </c>
      <c r="C78" t="s">
        <v>765</v>
      </c>
      <c r="E78" t="s">
        <v>630</v>
      </c>
      <c r="F78" t="s">
        <v>434</v>
      </c>
      <c r="G78">
        <v>44131</v>
      </c>
      <c r="I78" s="33">
        <v>2169867000</v>
      </c>
    </row>
    <row r="79" spans="1:10" x14ac:dyDescent="0.25">
      <c r="A79" t="s">
        <v>766</v>
      </c>
      <c r="B79" t="s">
        <v>767</v>
      </c>
      <c r="C79" t="s">
        <v>768</v>
      </c>
      <c r="E79" t="s">
        <v>769</v>
      </c>
      <c r="F79" t="s">
        <v>434</v>
      </c>
      <c r="G79">
        <v>44125</v>
      </c>
      <c r="I79" s="33" t="s">
        <v>770</v>
      </c>
      <c r="J79" s="38" t="s">
        <v>771</v>
      </c>
    </row>
    <row r="80" spans="1:10" x14ac:dyDescent="0.25">
      <c r="A80" s="40" t="s">
        <v>772</v>
      </c>
      <c r="B80" s="40" t="s">
        <v>773</v>
      </c>
      <c r="C80" s="40" t="s">
        <v>774</v>
      </c>
      <c r="D80" s="40"/>
      <c r="E80" s="40" t="s">
        <v>444</v>
      </c>
      <c r="F80" s="40" t="s">
        <v>434</v>
      </c>
      <c r="G80" s="40">
        <v>44104</v>
      </c>
      <c r="H80" s="40"/>
      <c r="I80" s="42">
        <v>4406281546</v>
      </c>
      <c r="J80" s="37" t="s">
        <v>450</v>
      </c>
    </row>
    <row r="81" spans="1:10" x14ac:dyDescent="0.25">
      <c r="A81" t="s">
        <v>775</v>
      </c>
      <c r="B81" t="s">
        <v>776</v>
      </c>
      <c r="C81" t="s">
        <v>777</v>
      </c>
      <c r="E81" t="s">
        <v>778</v>
      </c>
      <c r="F81" t="s">
        <v>434</v>
      </c>
      <c r="G81">
        <v>43055</v>
      </c>
      <c r="I81" s="33">
        <v>7403661447</v>
      </c>
      <c r="J81" s="38"/>
    </row>
    <row r="82" spans="1:10" x14ac:dyDescent="0.25">
      <c r="A82" t="s">
        <v>779</v>
      </c>
      <c r="B82" t="s">
        <v>780</v>
      </c>
      <c r="C82" t="s">
        <v>781</v>
      </c>
      <c r="E82" t="s">
        <v>588</v>
      </c>
      <c r="F82" t="s">
        <v>434</v>
      </c>
      <c r="G82">
        <v>44094</v>
      </c>
      <c r="I82" s="33">
        <v>4402561603</v>
      </c>
    </row>
    <row r="83" spans="1:10" x14ac:dyDescent="0.25">
      <c r="A83" t="s">
        <v>782</v>
      </c>
      <c r="B83" t="s">
        <v>783</v>
      </c>
      <c r="C83" t="s">
        <v>784</v>
      </c>
      <c r="E83" t="s">
        <v>444</v>
      </c>
      <c r="F83" t="s">
        <v>434</v>
      </c>
      <c r="G83">
        <v>44124</v>
      </c>
      <c r="I83" s="33">
        <v>4404427415</v>
      </c>
    </row>
    <row r="84" spans="1:10" x14ac:dyDescent="0.25">
      <c r="A84" t="s">
        <v>785</v>
      </c>
      <c r="B84" t="s">
        <v>786</v>
      </c>
      <c r="C84" t="s">
        <v>787</v>
      </c>
      <c r="E84" t="s">
        <v>788</v>
      </c>
      <c r="F84" t="s">
        <v>434</v>
      </c>
      <c r="G84">
        <v>44280</v>
      </c>
      <c r="I84" s="33" t="s">
        <v>789</v>
      </c>
      <c r="J84" s="38" t="s">
        <v>790</v>
      </c>
    </row>
    <row r="85" spans="1:10" x14ac:dyDescent="0.25">
      <c r="A85" t="s">
        <v>791</v>
      </c>
      <c r="B85" t="s">
        <v>792</v>
      </c>
      <c r="C85" t="s">
        <v>793</v>
      </c>
      <c r="E85" t="s">
        <v>444</v>
      </c>
      <c r="F85" t="s">
        <v>434</v>
      </c>
      <c r="G85">
        <v>44103</v>
      </c>
      <c r="I85" s="33" t="s">
        <v>794</v>
      </c>
      <c r="J85" s="38" t="s">
        <v>795</v>
      </c>
    </row>
    <row r="86" spans="1:10" x14ac:dyDescent="0.25">
      <c r="A86" s="40" t="s">
        <v>796</v>
      </c>
      <c r="B86" s="40" t="s">
        <v>797</v>
      </c>
      <c r="C86" s="40" t="s">
        <v>798</v>
      </c>
      <c r="D86" s="40"/>
      <c r="E86" s="40" t="s">
        <v>799</v>
      </c>
      <c r="F86" s="40" t="s">
        <v>434</v>
      </c>
      <c r="G86" s="40">
        <v>44146</v>
      </c>
      <c r="H86" s="40"/>
      <c r="I86" s="42">
        <v>4404394900</v>
      </c>
      <c r="J86" s="37" t="s">
        <v>450</v>
      </c>
    </row>
    <row r="87" spans="1:10" x14ac:dyDescent="0.25">
      <c r="A87" t="s">
        <v>800</v>
      </c>
      <c r="B87" t="s">
        <v>801</v>
      </c>
      <c r="C87" t="s">
        <v>802</v>
      </c>
      <c r="E87" t="s">
        <v>803</v>
      </c>
      <c r="F87" t="s">
        <v>434</v>
      </c>
      <c r="G87">
        <v>44511</v>
      </c>
      <c r="H87" t="s">
        <v>804</v>
      </c>
      <c r="I87" s="33">
        <v>3307742468</v>
      </c>
    </row>
    <row r="88" spans="1:10" x14ac:dyDescent="0.25">
      <c r="A88" t="s">
        <v>805</v>
      </c>
      <c r="B88" t="s">
        <v>806</v>
      </c>
      <c r="C88" t="s">
        <v>807</v>
      </c>
      <c r="E88" t="s">
        <v>808</v>
      </c>
      <c r="F88" t="s">
        <v>434</v>
      </c>
      <c r="G88">
        <v>44901</v>
      </c>
      <c r="H88" s="49" t="s">
        <v>809</v>
      </c>
      <c r="I88" s="33">
        <v>4198860068</v>
      </c>
      <c r="J88" s="38" t="s">
        <v>810</v>
      </c>
    </row>
    <row r="89" spans="1:10" x14ac:dyDescent="0.25">
      <c r="A89" t="s">
        <v>343</v>
      </c>
      <c r="B89" t="s">
        <v>811</v>
      </c>
      <c r="C89" t="s">
        <v>812</v>
      </c>
      <c r="E89" t="s">
        <v>813</v>
      </c>
      <c r="F89" t="s">
        <v>434</v>
      </c>
      <c r="G89">
        <v>44446</v>
      </c>
      <c r="H89" t="s">
        <v>814</v>
      </c>
      <c r="I89" s="33" t="s">
        <v>815</v>
      </c>
      <c r="J89" s="38" t="s">
        <v>816</v>
      </c>
    </row>
    <row r="90" spans="1:10" x14ac:dyDescent="0.25">
      <c r="A90" s="43" t="s">
        <v>817</v>
      </c>
      <c r="B90" s="43" t="s">
        <v>818</v>
      </c>
      <c r="C90" s="43" t="s">
        <v>819</v>
      </c>
      <c r="D90" s="43"/>
      <c r="E90" s="43" t="s">
        <v>820</v>
      </c>
      <c r="F90" s="43" t="s">
        <v>821</v>
      </c>
      <c r="G90" s="43">
        <v>46234</v>
      </c>
      <c r="H90" s="43" t="s">
        <v>822</v>
      </c>
      <c r="I90" s="45">
        <v>3176535361</v>
      </c>
      <c r="J90" s="44" t="s">
        <v>823</v>
      </c>
    </row>
    <row r="91" spans="1:10" x14ac:dyDescent="0.25">
      <c r="A91" t="s">
        <v>824</v>
      </c>
      <c r="B91" t="s">
        <v>825</v>
      </c>
      <c r="I91" s="33"/>
    </row>
    <row r="92" spans="1:10" x14ac:dyDescent="0.25">
      <c r="A92" t="s">
        <v>826</v>
      </c>
      <c r="B92" t="s">
        <v>827</v>
      </c>
      <c r="C92" t="s">
        <v>828</v>
      </c>
      <c r="E92" t="s">
        <v>444</v>
      </c>
      <c r="F92" t="s">
        <v>434</v>
      </c>
      <c r="G92">
        <v>44105</v>
      </c>
      <c r="I92" s="33"/>
    </row>
    <row r="93" spans="1:10" x14ac:dyDescent="0.25">
      <c r="A93" t="s">
        <v>829</v>
      </c>
      <c r="B93" t="s">
        <v>830</v>
      </c>
      <c r="C93" t="s">
        <v>831</v>
      </c>
      <c r="E93" t="s">
        <v>832</v>
      </c>
      <c r="F93" t="s">
        <v>434</v>
      </c>
      <c r="G93">
        <v>44090</v>
      </c>
      <c r="I93" s="33">
        <v>4406476661</v>
      </c>
      <c r="J93" s="38" t="s">
        <v>833</v>
      </c>
    </row>
    <row r="94" spans="1:10" x14ac:dyDescent="0.25">
      <c r="A94" t="s">
        <v>834</v>
      </c>
      <c r="B94" t="s">
        <v>834</v>
      </c>
      <c r="C94" t="s">
        <v>835</v>
      </c>
      <c r="E94" t="s">
        <v>588</v>
      </c>
      <c r="F94" t="s">
        <v>434</v>
      </c>
      <c r="G94">
        <v>44094</v>
      </c>
      <c r="I94" s="33"/>
    </row>
    <row r="95" spans="1:10" x14ac:dyDescent="0.25">
      <c r="A95" t="s">
        <v>836</v>
      </c>
      <c r="B95" t="s">
        <v>837</v>
      </c>
      <c r="C95" t="s">
        <v>838</v>
      </c>
      <c r="E95" t="s">
        <v>839</v>
      </c>
      <c r="F95" t="s">
        <v>434</v>
      </c>
      <c r="G95">
        <v>44149</v>
      </c>
      <c r="I95" s="33">
        <v>4402381162</v>
      </c>
    </row>
    <row r="96" spans="1:10" x14ac:dyDescent="0.25">
      <c r="A96" t="s">
        <v>840</v>
      </c>
      <c r="B96" t="s">
        <v>841</v>
      </c>
      <c r="C96" t="s">
        <v>842</v>
      </c>
      <c r="E96" t="s">
        <v>581</v>
      </c>
      <c r="F96" t="s">
        <v>434</v>
      </c>
      <c r="G96">
        <v>44125</v>
      </c>
      <c r="I96" s="33">
        <v>2166421114</v>
      </c>
      <c r="J96" s="48" t="s">
        <v>843</v>
      </c>
    </row>
    <row r="97" spans="1:10" x14ac:dyDescent="0.25">
      <c r="A97" s="50" t="s">
        <v>844</v>
      </c>
      <c r="B97" t="s">
        <v>845</v>
      </c>
      <c r="C97" t="s">
        <v>846</v>
      </c>
      <c r="E97" t="s">
        <v>444</v>
      </c>
      <c r="F97" t="s">
        <v>434</v>
      </c>
      <c r="G97">
        <v>44104</v>
      </c>
      <c r="H97" t="s">
        <v>847</v>
      </c>
      <c r="I97" s="33">
        <v>2164211203</v>
      </c>
      <c r="J97" s="38" t="s">
        <v>848</v>
      </c>
    </row>
    <row r="98" spans="1:10" x14ac:dyDescent="0.25">
      <c r="A98" s="43" t="s">
        <v>849</v>
      </c>
      <c r="B98" t="s">
        <v>850</v>
      </c>
      <c r="C98" t="s">
        <v>851</v>
      </c>
      <c r="E98" t="s">
        <v>433</v>
      </c>
      <c r="F98" t="s">
        <v>434</v>
      </c>
      <c r="G98">
        <v>44319</v>
      </c>
      <c r="I98" s="33"/>
    </row>
    <row r="99" spans="1:10" x14ac:dyDescent="0.25">
      <c r="A99" t="s">
        <v>852</v>
      </c>
      <c r="B99" t="s">
        <v>853</v>
      </c>
      <c r="C99" t="s">
        <v>854</v>
      </c>
      <c r="E99" t="s">
        <v>855</v>
      </c>
      <c r="F99" t="s">
        <v>434</v>
      </c>
      <c r="G99">
        <v>44128</v>
      </c>
      <c r="I99" s="33" t="s">
        <v>856</v>
      </c>
      <c r="J99" s="38" t="s">
        <v>857</v>
      </c>
    </row>
    <row r="100" spans="1:10" x14ac:dyDescent="0.25">
      <c r="A100" t="s">
        <v>858</v>
      </c>
      <c r="B100" t="s">
        <v>859</v>
      </c>
      <c r="C100" t="s">
        <v>860</v>
      </c>
      <c r="E100" t="s">
        <v>861</v>
      </c>
      <c r="F100" t="s">
        <v>434</v>
      </c>
      <c r="G100">
        <v>44128</v>
      </c>
      <c r="I100" s="33">
        <v>2166622235</v>
      </c>
      <c r="J100" s="38" t="s">
        <v>862</v>
      </c>
    </row>
    <row r="101" spans="1:10" x14ac:dyDescent="0.25">
      <c r="A101" t="s">
        <v>863</v>
      </c>
      <c r="B101" t="s">
        <v>864</v>
      </c>
      <c r="C101" t="s">
        <v>865</v>
      </c>
      <c r="E101" t="s">
        <v>444</v>
      </c>
      <c r="F101" t="s">
        <v>434</v>
      </c>
      <c r="G101">
        <v>44104</v>
      </c>
      <c r="H101" t="s">
        <v>866</v>
      </c>
      <c r="I101" s="33" t="s">
        <v>867</v>
      </c>
      <c r="J101" s="38" t="s">
        <v>868</v>
      </c>
    </row>
    <row r="102" spans="1:10" x14ac:dyDescent="0.25">
      <c r="A102" t="s">
        <v>869</v>
      </c>
      <c r="B102" t="s">
        <v>870</v>
      </c>
      <c r="C102" t="s">
        <v>871</v>
      </c>
      <c r="E102" t="s">
        <v>872</v>
      </c>
      <c r="F102" t="s">
        <v>434</v>
      </c>
      <c r="G102">
        <v>43452</v>
      </c>
      <c r="I102" s="33">
        <v>4402485552</v>
      </c>
      <c r="J102" s="38" t="s">
        <v>873</v>
      </c>
    </row>
    <row r="103" spans="1:10" x14ac:dyDescent="0.25">
      <c r="A103" s="34" t="s">
        <v>874</v>
      </c>
      <c r="B103" s="34" t="s">
        <v>875</v>
      </c>
      <c r="C103" s="34" t="s">
        <v>876</v>
      </c>
      <c r="D103" s="34"/>
      <c r="E103" s="34" t="s">
        <v>444</v>
      </c>
      <c r="F103" s="34" t="s">
        <v>434</v>
      </c>
      <c r="G103" s="34">
        <v>44114</v>
      </c>
      <c r="H103" s="34" t="s">
        <v>877</v>
      </c>
      <c r="I103" s="35">
        <v>2167712233</v>
      </c>
      <c r="J103" s="34"/>
    </row>
    <row r="104" spans="1:10" x14ac:dyDescent="0.25">
      <c r="A104" t="s">
        <v>878</v>
      </c>
      <c r="B104" t="s">
        <v>311</v>
      </c>
      <c r="C104" t="s">
        <v>879</v>
      </c>
      <c r="D104" t="s">
        <v>880</v>
      </c>
      <c r="E104" t="s">
        <v>881</v>
      </c>
      <c r="F104" t="s">
        <v>434</v>
      </c>
      <c r="G104">
        <v>44233</v>
      </c>
      <c r="H104" t="s">
        <v>882</v>
      </c>
      <c r="I104" s="33" t="s">
        <v>883</v>
      </c>
      <c r="J104" s="38" t="s">
        <v>884</v>
      </c>
    </row>
    <row r="105" spans="1:10" x14ac:dyDescent="0.25">
      <c r="A105" s="34" t="s">
        <v>885</v>
      </c>
      <c r="B105" s="34" t="s">
        <v>886</v>
      </c>
      <c r="C105" s="34"/>
      <c r="D105" s="34"/>
      <c r="E105" s="34"/>
      <c r="F105" s="34"/>
      <c r="G105" s="34"/>
      <c r="H105" s="34"/>
      <c r="I105" s="35"/>
      <c r="J105" s="34"/>
    </row>
    <row r="106" spans="1:10" x14ac:dyDescent="0.25">
      <c r="A106" t="s">
        <v>887</v>
      </c>
      <c r="B106" t="s">
        <v>888</v>
      </c>
      <c r="C106" t="s">
        <v>889</v>
      </c>
      <c r="D106" t="s">
        <v>890</v>
      </c>
      <c r="E106" t="s">
        <v>444</v>
      </c>
      <c r="F106" t="s">
        <v>434</v>
      </c>
      <c r="G106">
        <v>44104</v>
      </c>
      <c r="I106" s="33">
        <v>2163911444</v>
      </c>
      <c r="J106" s="38" t="s">
        <v>891</v>
      </c>
    </row>
    <row r="107" spans="1:10" x14ac:dyDescent="0.25">
      <c r="A107" t="s">
        <v>892</v>
      </c>
      <c r="B107" s="49" t="s">
        <v>893</v>
      </c>
      <c r="C107" t="s">
        <v>894</v>
      </c>
      <c r="E107" t="s">
        <v>483</v>
      </c>
      <c r="F107" t="s">
        <v>434</v>
      </c>
      <c r="G107">
        <v>44125</v>
      </c>
      <c r="I107" s="33">
        <v>2162062600</v>
      </c>
    </row>
    <row r="108" spans="1:10" x14ac:dyDescent="0.25">
      <c r="A108" t="s">
        <v>895</v>
      </c>
      <c r="B108" t="s">
        <v>896</v>
      </c>
      <c r="C108" t="s">
        <v>897</v>
      </c>
      <c r="E108" t="s">
        <v>634</v>
      </c>
      <c r="F108" t="s">
        <v>434</v>
      </c>
      <c r="G108">
        <v>44060</v>
      </c>
      <c r="I108" s="33">
        <v>4406029750</v>
      </c>
      <c r="J108" s="38" t="s">
        <v>898</v>
      </c>
    </row>
    <row r="109" spans="1:10" x14ac:dyDescent="0.25">
      <c r="A109" t="s">
        <v>899</v>
      </c>
      <c r="B109" t="s">
        <v>900</v>
      </c>
      <c r="C109" t="s">
        <v>901</v>
      </c>
      <c r="E109" t="s">
        <v>444</v>
      </c>
      <c r="F109" t="s">
        <v>434</v>
      </c>
      <c r="G109">
        <v>44131</v>
      </c>
      <c r="H109" t="s">
        <v>902</v>
      </c>
      <c r="I109" s="33" t="s">
        <v>903</v>
      </c>
    </row>
    <row r="110" spans="1:10" x14ac:dyDescent="0.25">
      <c r="A110" t="s">
        <v>904</v>
      </c>
      <c r="B110" t="s">
        <v>905</v>
      </c>
      <c r="C110" t="s">
        <v>906</v>
      </c>
      <c r="E110" t="s">
        <v>803</v>
      </c>
      <c r="F110" t="s">
        <v>434</v>
      </c>
      <c r="G110">
        <v>44506</v>
      </c>
      <c r="H110" t="s">
        <v>907</v>
      </c>
      <c r="I110" s="33">
        <v>3307500333</v>
      </c>
      <c r="J110" s="38" t="s">
        <v>908</v>
      </c>
    </row>
    <row r="111" spans="1:10" x14ac:dyDescent="0.25">
      <c r="A111" t="s">
        <v>909</v>
      </c>
      <c r="B111" t="s">
        <v>910</v>
      </c>
      <c r="C111" t="s">
        <v>911</v>
      </c>
      <c r="E111" t="s">
        <v>912</v>
      </c>
      <c r="F111" t="s">
        <v>434</v>
      </c>
      <c r="G111">
        <v>44092</v>
      </c>
      <c r="I111" s="33" t="s">
        <v>913</v>
      </c>
    </row>
    <row r="112" spans="1:10" x14ac:dyDescent="0.25">
      <c r="A112" t="s">
        <v>914</v>
      </c>
      <c r="B112" t="s">
        <v>915</v>
      </c>
      <c r="C112" t="s">
        <v>916</v>
      </c>
      <c r="E112" t="s">
        <v>444</v>
      </c>
      <c r="F112" t="s">
        <v>434</v>
      </c>
      <c r="G112">
        <v>44125</v>
      </c>
      <c r="I112" s="33">
        <v>4407351946</v>
      </c>
    </row>
    <row r="113" spans="1:10" x14ac:dyDescent="0.25">
      <c r="A113" t="s">
        <v>917</v>
      </c>
      <c r="B113" t="s">
        <v>918</v>
      </c>
      <c r="C113" t="s">
        <v>919</v>
      </c>
      <c r="E113" t="s">
        <v>454</v>
      </c>
      <c r="F113" t="s">
        <v>434</v>
      </c>
      <c r="G113">
        <v>44133</v>
      </c>
      <c r="H113" t="s">
        <v>920</v>
      </c>
      <c r="I113" s="33">
        <v>4402378070</v>
      </c>
      <c r="J113" s="38"/>
    </row>
    <row r="114" spans="1:10" x14ac:dyDescent="0.25">
      <c r="A114" t="s">
        <v>921</v>
      </c>
      <c r="B114" t="s">
        <v>922</v>
      </c>
      <c r="C114" t="s">
        <v>923</v>
      </c>
      <c r="E114" t="s">
        <v>924</v>
      </c>
      <c r="F114" t="s">
        <v>434</v>
      </c>
      <c r="G114">
        <v>44122</v>
      </c>
      <c r="H114" t="s">
        <v>925</v>
      </c>
      <c r="I114" s="33" t="s">
        <v>926</v>
      </c>
      <c r="J114" s="51" t="s">
        <v>927</v>
      </c>
    </row>
    <row r="115" spans="1:10" x14ac:dyDescent="0.25">
      <c r="A115" t="s">
        <v>928</v>
      </c>
      <c r="B115" t="s">
        <v>929</v>
      </c>
      <c r="C115" t="s">
        <v>930</v>
      </c>
      <c r="E115" t="s">
        <v>570</v>
      </c>
      <c r="F115" t="s">
        <v>434</v>
      </c>
      <c r="G115">
        <v>44021</v>
      </c>
      <c r="H115" t="s">
        <v>931</v>
      </c>
      <c r="I115" s="33" t="s">
        <v>932</v>
      </c>
      <c r="J115" s="38" t="s">
        <v>933</v>
      </c>
    </row>
    <row r="116" spans="1:10" x14ac:dyDescent="0.25">
      <c r="A116" t="s">
        <v>934</v>
      </c>
      <c r="B116" t="s">
        <v>935</v>
      </c>
      <c r="C116" t="s">
        <v>936</v>
      </c>
      <c r="D116" t="s">
        <v>937</v>
      </c>
      <c r="E116" t="s">
        <v>938</v>
      </c>
      <c r="F116" t="s">
        <v>434</v>
      </c>
      <c r="G116">
        <v>44274</v>
      </c>
      <c r="I116" s="33">
        <v>3302392800</v>
      </c>
      <c r="J116" s="38" t="s">
        <v>939</v>
      </c>
    </row>
    <row r="117" spans="1:10" x14ac:dyDescent="0.25">
      <c r="A117" t="s">
        <v>940</v>
      </c>
      <c r="B117" t="s">
        <v>941</v>
      </c>
      <c r="C117" t="s">
        <v>942</v>
      </c>
      <c r="E117" t="s">
        <v>943</v>
      </c>
      <c r="F117" t="s">
        <v>434</v>
      </c>
      <c r="G117">
        <v>44070</v>
      </c>
      <c r="I117" s="33">
        <v>4407164900</v>
      </c>
      <c r="J117" s="38" t="s">
        <v>944</v>
      </c>
    </row>
    <row r="118" spans="1:10" x14ac:dyDescent="0.25">
      <c r="A118" t="s">
        <v>945</v>
      </c>
      <c r="B118" t="s">
        <v>946</v>
      </c>
      <c r="C118" t="s">
        <v>947</v>
      </c>
      <c r="E118" t="s">
        <v>444</v>
      </c>
      <c r="F118" t="s">
        <v>434</v>
      </c>
      <c r="G118">
        <v>44119</v>
      </c>
      <c r="H118" t="s">
        <v>948</v>
      </c>
      <c r="I118" s="33">
        <v>2164819548</v>
      </c>
      <c r="J118" s="38" t="s">
        <v>949</v>
      </c>
    </row>
    <row r="119" spans="1:10" x14ac:dyDescent="0.25">
      <c r="A119" t="s">
        <v>950</v>
      </c>
      <c r="B119" t="s">
        <v>951</v>
      </c>
      <c r="C119" t="s">
        <v>952</v>
      </c>
      <c r="E119" t="s">
        <v>953</v>
      </c>
      <c r="F119" t="s">
        <v>954</v>
      </c>
      <c r="G119">
        <v>30650</v>
      </c>
      <c r="I119" s="33">
        <v>7702316501</v>
      </c>
    </row>
    <row r="120" spans="1:10" x14ac:dyDescent="0.25">
      <c r="A120" t="s">
        <v>955</v>
      </c>
      <c r="B120" t="s">
        <v>956</v>
      </c>
      <c r="C120" t="s">
        <v>957</v>
      </c>
      <c r="E120" t="s">
        <v>958</v>
      </c>
      <c r="F120" t="s">
        <v>434</v>
      </c>
      <c r="G120">
        <v>44436</v>
      </c>
      <c r="I120" s="33">
        <v>3305366724</v>
      </c>
    </row>
    <row r="121" spans="1:10" x14ac:dyDescent="0.25">
      <c r="A121" t="s">
        <v>959</v>
      </c>
      <c r="B121" t="s">
        <v>960</v>
      </c>
      <c r="C121" t="s">
        <v>961</v>
      </c>
      <c r="D121" t="s">
        <v>962</v>
      </c>
      <c r="E121" t="s">
        <v>963</v>
      </c>
      <c r="F121" t="s">
        <v>434</v>
      </c>
      <c r="G121">
        <v>43076</v>
      </c>
      <c r="H121" s="52"/>
      <c r="I121" s="33">
        <v>7402466315</v>
      </c>
    </row>
    <row r="122" spans="1:10" x14ac:dyDescent="0.25">
      <c r="A122" t="s">
        <v>964</v>
      </c>
      <c r="B122" t="s">
        <v>965</v>
      </c>
      <c r="C122" t="s">
        <v>966</v>
      </c>
      <c r="E122" t="s">
        <v>523</v>
      </c>
      <c r="F122" t="s">
        <v>434</v>
      </c>
      <c r="G122">
        <v>44141</v>
      </c>
      <c r="I122" s="33">
        <v>9372766666</v>
      </c>
      <c r="J122" s="38" t="s">
        <v>967</v>
      </c>
    </row>
    <row r="123" spans="1:10" x14ac:dyDescent="0.25">
      <c r="A123" t="s">
        <v>968</v>
      </c>
      <c r="B123" t="s">
        <v>969</v>
      </c>
      <c r="C123" t="s">
        <v>970</v>
      </c>
      <c r="E123" t="s">
        <v>971</v>
      </c>
      <c r="F123" t="s">
        <v>434</v>
      </c>
      <c r="G123">
        <v>44004</v>
      </c>
      <c r="H123" t="s">
        <v>972</v>
      </c>
      <c r="I123" s="33">
        <v>4407487483</v>
      </c>
      <c r="J123" s="38" t="s">
        <v>973</v>
      </c>
    </row>
    <row r="124" spans="1:10" x14ac:dyDescent="0.25">
      <c r="A124" t="s">
        <v>974</v>
      </c>
      <c r="B124" t="s">
        <v>975</v>
      </c>
      <c r="C124" t="s">
        <v>976</v>
      </c>
      <c r="E124" t="s">
        <v>977</v>
      </c>
      <c r="F124" t="s">
        <v>434</v>
      </c>
      <c r="G124">
        <v>44143</v>
      </c>
      <c r="H124" t="s">
        <v>978</v>
      </c>
      <c r="I124" s="33" t="s">
        <v>979</v>
      </c>
      <c r="J124" s="38" t="s">
        <v>980</v>
      </c>
    </row>
    <row r="125" spans="1:10" x14ac:dyDescent="0.25">
      <c r="A125" s="34" t="s">
        <v>981</v>
      </c>
      <c r="B125" s="34" t="s">
        <v>982</v>
      </c>
      <c r="C125" s="34" t="s">
        <v>983</v>
      </c>
      <c r="D125" s="40"/>
      <c r="E125" s="34" t="s">
        <v>605</v>
      </c>
      <c r="F125" s="34" t="s">
        <v>434</v>
      </c>
      <c r="G125" s="34">
        <v>44023</v>
      </c>
      <c r="H125" s="34" t="s">
        <v>984</v>
      </c>
      <c r="I125" s="35">
        <v>4405915393</v>
      </c>
      <c r="J125" s="41" t="s">
        <v>985</v>
      </c>
    </row>
    <row r="126" spans="1:10" x14ac:dyDescent="0.25">
      <c r="A126" t="s">
        <v>986</v>
      </c>
      <c r="B126" t="s">
        <v>987</v>
      </c>
      <c r="C126" t="s">
        <v>988</v>
      </c>
      <c r="D126" t="s">
        <v>989</v>
      </c>
      <c r="E126" t="s">
        <v>990</v>
      </c>
      <c r="F126" t="s">
        <v>434</v>
      </c>
      <c r="G126">
        <v>44133</v>
      </c>
      <c r="I126" s="33">
        <v>4408779151</v>
      </c>
    </row>
    <row r="127" spans="1:10" x14ac:dyDescent="0.25">
      <c r="A127" t="s">
        <v>991</v>
      </c>
      <c r="B127" t="s">
        <v>992</v>
      </c>
      <c r="C127" t="s">
        <v>993</v>
      </c>
      <c r="E127" t="s">
        <v>994</v>
      </c>
      <c r="F127" t="s">
        <v>434</v>
      </c>
      <c r="G127">
        <v>44470</v>
      </c>
      <c r="H127" t="s">
        <v>995</v>
      </c>
      <c r="I127" s="33" t="s">
        <v>996</v>
      </c>
      <c r="J127" s="38" t="s">
        <v>997</v>
      </c>
    </row>
    <row r="128" spans="1:10" x14ac:dyDescent="0.25">
      <c r="A128" t="s">
        <v>998</v>
      </c>
      <c r="B128" t="s">
        <v>999</v>
      </c>
      <c r="C128" t="s">
        <v>1000</v>
      </c>
      <c r="E128" t="s">
        <v>1001</v>
      </c>
      <c r="F128" t="s">
        <v>434</v>
      </c>
      <c r="G128">
        <v>44622</v>
      </c>
      <c r="I128" s="33">
        <v>3303647665</v>
      </c>
    </row>
    <row r="129" spans="1:10" x14ac:dyDescent="0.25">
      <c r="A129" t="s">
        <v>1002</v>
      </c>
      <c r="B129" t="s">
        <v>1003</v>
      </c>
      <c r="C129" t="s">
        <v>1004</v>
      </c>
      <c r="E129" t="s">
        <v>1005</v>
      </c>
      <c r="F129" t="s">
        <v>434</v>
      </c>
      <c r="G129">
        <v>44312</v>
      </c>
      <c r="H129" t="s">
        <v>1006</v>
      </c>
      <c r="I129" s="33">
        <v>3306451544</v>
      </c>
      <c r="J129" s="38" t="s">
        <v>1007</v>
      </c>
    </row>
    <row r="130" spans="1:10" x14ac:dyDescent="0.25">
      <c r="A130" t="s">
        <v>1008</v>
      </c>
      <c r="B130" t="s">
        <v>1009</v>
      </c>
      <c r="C130" t="s">
        <v>1010</v>
      </c>
      <c r="D130" t="s">
        <v>1011</v>
      </c>
      <c r="E130" t="s">
        <v>1012</v>
      </c>
      <c r="F130" t="s">
        <v>434</v>
      </c>
      <c r="G130">
        <v>44087</v>
      </c>
      <c r="H130" t="s">
        <v>1013</v>
      </c>
      <c r="I130" s="33" t="s">
        <v>1014</v>
      </c>
      <c r="J130" s="38" t="s">
        <v>1015</v>
      </c>
    </row>
    <row r="131" spans="1:10" x14ac:dyDescent="0.25">
      <c r="A131" t="s">
        <v>1016</v>
      </c>
      <c r="B131" t="s">
        <v>1017</v>
      </c>
      <c r="C131" t="s">
        <v>1018</v>
      </c>
      <c r="E131" t="s">
        <v>630</v>
      </c>
      <c r="F131" t="s">
        <v>434</v>
      </c>
      <c r="G131">
        <v>44131</v>
      </c>
      <c r="I131" s="33"/>
    </row>
    <row r="132" spans="1:10" x14ac:dyDescent="0.25">
      <c r="A132" t="s">
        <v>1019</v>
      </c>
      <c r="B132" t="s">
        <v>1020</v>
      </c>
      <c r="C132" t="s">
        <v>1021</v>
      </c>
      <c r="E132" t="s">
        <v>1022</v>
      </c>
      <c r="F132" t="s">
        <v>434</v>
      </c>
      <c r="G132">
        <v>44092</v>
      </c>
      <c r="I132" s="33">
        <v>4405851564</v>
      </c>
    </row>
    <row r="133" spans="1:10" x14ac:dyDescent="0.25">
      <c r="A133" t="s">
        <v>1023</v>
      </c>
      <c r="B133" t="s">
        <v>1024</v>
      </c>
      <c r="C133" t="s">
        <v>1025</v>
      </c>
      <c r="E133" t="s">
        <v>581</v>
      </c>
      <c r="F133" t="s">
        <v>434</v>
      </c>
      <c r="G133">
        <v>44125</v>
      </c>
      <c r="I133" s="33">
        <v>2165244544</v>
      </c>
    </row>
    <row r="134" spans="1:10" x14ac:dyDescent="0.25">
      <c r="A134" t="s">
        <v>1026</v>
      </c>
      <c r="B134" t="s">
        <v>1027</v>
      </c>
      <c r="C134" t="s">
        <v>1028</v>
      </c>
      <c r="E134" t="s">
        <v>634</v>
      </c>
      <c r="F134" t="s">
        <v>434</v>
      </c>
      <c r="G134">
        <v>44060</v>
      </c>
      <c r="I134" s="33">
        <v>4409747040</v>
      </c>
    </row>
    <row r="135" spans="1:10" x14ac:dyDescent="0.25">
      <c r="A135" s="43" t="s">
        <v>1029</v>
      </c>
      <c r="B135" s="43" t="s">
        <v>1030</v>
      </c>
      <c r="C135" s="43" t="s">
        <v>1031</v>
      </c>
      <c r="D135" s="43"/>
      <c r="E135" s="43" t="s">
        <v>666</v>
      </c>
      <c r="F135" s="43" t="s">
        <v>434</v>
      </c>
      <c r="G135" s="43">
        <v>44024</v>
      </c>
      <c r="H135" s="43" t="s">
        <v>1032</v>
      </c>
      <c r="I135" s="45" t="s">
        <v>1033</v>
      </c>
      <c r="J135" s="44" t="s">
        <v>1034</v>
      </c>
    </row>
    <row r="136" spans="1:10" x14ac:dyDescent="0.25">
      <c r="A136" s="34" t="s">
        <v>1035</v>
      </c>
      <c r="B136" s="34" t="s">
        <v>1036</v>
      </c>
      <c r="C136" s="34" t="s">
        <v>1037</v>
      </c>
      <c r="D136" s="34"/>
      <c r="E136" s="34" t="s">
        <v>1038</v>
      </c>
      <c r="F136" s="34" t="s">
        <v>434</v>
      </c>
      <c r="G136" s="34">
        <v>44023</v>
      </c>
      <c r="H136" s="34"/>
      <c r="I136" s="35">
        <v>2164694602</v>
      </c>
      <c r="J136" s="36" t="s">
        <v>1039</v>
      </c>
    </row>
    <row r="137" spans="1:10" x14ac:dyDescent="0.25">
      <c r="A137" s="43" t="s">
        <v>1040</v>
      </c>
      <c r="B137" s="43" t="s">
        <v>1041</v>
      </c>
      <c r="C137" s="43" t="s">
        <v>1042</v>
      </c>
      <c r="D137" s="43"/>
      <c r="E137" s="43" t="s">
        <v>912</v>
      </c>
      <c r="F137" s="43" t="s">
        <v>434</v>
      </c>
      <c r="G137" s="43">
        <v>44092</v>
      </c>
      <c r="H137" s="43"/>
      <c r="I137" s="45">
        <v>4405851439</v>
      </c>
      <c r="J137" s="44" t="s">
        <v>1043</v>
      </c>
    </row>
    <row r="138" spans="1:10" x14ac:dyDescent="0.25">
      <c r="A138" s="34" t="s">
        <v>1044</v>
      </c>
      <c r="B138" s="34" t="s">
        <v>1045</v>
      </c>
      <c r="C138" s="34"/>
      <c r="D138" s="34"/>
      <c r="E138" s="34"/>
      <c r="F138" s="34"/>
      <c r="G138" s="34"/>
      <c r="H138" s="34"/>
      <c r="I138" s="35"/>
      <c r="J138" s="34"/>
    </row>
    <row r="139" spans="1:10" x14ac:dyDescent="0.25">
      <c r="A139" s="40" t="s">
        <v>1046</v>
      </c>
      <c r="B139" s="40" t="s">
        <v>1047</v>
      </c>
      <c r="C139" s="40"/>
      <c r="D139" s="40"/>
      <c r="E139" s="40"/>
      <c r="F139" s="40"/>
      <c r="G139" s="40"/>
      <c r="H139" s="40"/>
      <c r="I139" s="42"/>
      <c r="J139" s="40"/>
    </row>
    <row r="140" spans="1:10" x14ac:dyDescent="0.25">
      <c r="A140" s="43" t="s">
        <v>1048</v>
      </c>
      <c r="B140" s="43" t="s">
        <v>1049</v>
      </c>
      <c r="C140" s="43" t="s">
        <v>1050</v>
      </c>
      <c r="D140" s="43"/>
      <c r="E140" s="43" t="s">
        <v>444</v>
      </c>
      <c r="F140" s="43" t="s">
        <v>434</v>
      </c>
      <c r="G140" s="43">
        <v>44121</v>
      </c>
      <c r="H140" s="43"/>
      <c r="I140" s="45">
        <v>2163818100</v>
      </c>
      <c r="J140" s="44" t="s">
        <v>1051</v>
      </c>
    </row>
    <row r="141" spans="1:10" x14ac:dyDescent="0.25">
      <c r="A141" t="s">
        <v>1052</v>
      </c>
      <c r="B141" t="s">
        <v>1053</v>
      </c>
      <c r="C141" t="s">
        <v>1054</v>
      </c>
      <c r="E141" t="s">
        <v>444</v>
      </c>
      <c r="F141" t="s">
        <v>434</v>
      </c>
      <c r="G141">
        <v>44134</v>
      </c>
      <c r="H141" t="s">
        <v>1055</v>
      </c>
      <c r="I141" s="33" t="s">
        <v>1056</v>
      </c>
      <c r="J141" s="38" t="s">
        <v>1057</v>
      </c>
    </row>
    <row r="142" spans="1:10" x14ac:dyDescent="0.25">
      <c r="A142" t="s">
        <v>1058</v>
      </c>
      <c r="B142" t="s">
        <v>1059</v>
      </c>
      <c r="C142" t="s">
        <v>1060</v>
      </c>
      <c r="E142" t="s">
        <v>1061</v>
      </c>
      <c r="F142" t="s">
        <v>434</v>
      </c>
      <c r="G142">
        <v>44710</v>
      </c>
      <c r="H142" t="s">
        <v>1062</v>
      </c>
      <c r="I142" s="33" t="s">
        <v>1063</v>
      </c>
      <c r="J142" s="38" t="s">
        <v>1064</v>
      </c>
    </row>
    <row r="143" spans="1:10" x14ac:dyDescent="0.25">
      <c r="A143" t="s">
        <v>1065</v>
      </c>
      <c r="B143" t="s">
        <v>1066</v>
      </c>
      <c r="C143" t="s">
        <v>1067</v>
      </c>
      <c r="E143" t="s">
        <v>722</v>
      </c>
      <c r="F143" t="s">
        <v>434</v>
      </c>
      <c r="G143">
        <v>44224</v>
      </c>
      <c r="I143" s="33">
        <v>3306504478</v>
      </c>
    </row>
    <row r="144" spans="1:10" x14ac:dyDescent="0.25">
      <c r="A144" t="s">
        <v>1068</v>
      </c>
      <c r="B144" t="s">
        <v>1069</v>
      </c>
      <c r="C144" t="s">
        <v>1070</v>
      </c>
      <c r="E144" t="s">
        <v>1071</v>
      </c>
      <c r="F144" t="s">
        <v>434</v>
      </c>
      <c r="G144">
        <v>44056</v>
      </c>
      <c r="I144" s="33"/>
    </row>
    <row r="145" spans="1:10" x14ac:dyDescent="0.25">
      <c r="A145" s="43" t="s">
        <v>1072</v>
      </c>
      <c r="B145" s="43" t="s">
        <v>1073</v>
      </c>
      <c r="C145" s="43" t="s">
        <v>1074</v>
      </c>
      <c r="D145" s="43"/>
      <c r="E145" s="43" t="s">
        <v>630</v>
      </c>
      <c r="F145" s="43" t="s">
        <v>434</v>
      </c>
      <c r="G145" s="43">
        <v>44131</v>
      </c>
      <c r="H145" s="43" t="s">
        <v>1075</v>
      </c>
      <c r="I145" s="45">
        <v>0</v>
      </c>
      <c r="J145" s="43"/>
    </row>
    <row r="146" spans="1:10" x14ac:dyDescent="0.25">
      <c r="A146" t="s">
        <v>1076</v>
      </c>
      <c r="B146" t="s">
        <v>1077</v>
      </c>
      <c r="C146" t="s">
        <v>1078</v>
      </c>
      <c r="E146" t="s">
        <v>1079</v>
      </c>
      <c r="F146" t="s">
        <v>434</v>
      </c>
      <c r="G146">
        <v>44618</v>
      </c>
      <c r="H146" t="s">
        <v>1080</v>
      </c>
      <c r="I146" s="33" t="s">
        <v>1081</v>
      </c>
      <c r="J146" s="38" t="s">
        <v>1082</v>
      </c>
    </row>
    <row r="147" spans="1:10" x14ac:dyDescent="0.25">
      <c r="A147" s="34" t="s">
        <v>1083</v>
      </c>
      <c r="B147" s="34" t="s">
        <v>1084</v>
      </c>
      <c r="C147" s="34"/>
      <c r="D147" s="34"/>
      <c r="E147" s="34"/>
      <c r="F147" s="34"/>
      <c r="G147" s="34"/>
      <c r="H147" s="34"/>
      <c r="I147" s="35"/>
      <c r="J147" s="34"/>
    </row>
    <row r="148" spans="1:10" x14ac:dyDescent="0.25">
      <c r="A148" s="34" t="s">
        <v>1085</v>
      </c>
      <c r="B148" s="34" t="s">
        <v>1086</v>
      </c>
      <c r="C148" s="34"/>
      <c r="D148" s="34"/>
      <c r="E148" s="34"/>
      <c r="F148" s="34"/>
      <c r="G148" s="34"/>
      <c r="H148" s="34"/>
      <c r="I148" s="35"/>
      <c r="J148" s="34"/>
    </row>
  </sheetData>
  <hyperlinks>
    <hyperlink ref="J54" r:id="rId1" xr:uid="{9577F56A-654D-4DD2-B9A5-89D1EC638A90}"/>
    <hyperlink ref="J8" r:id="rId2" xr:uid="{051333C9-740F-4C85-9B95-0CBBD7FF4AA6}"/>
    <hyperlink ref="J10" r:id="rId3" xr:uid="{3DF9B52B-05B5-42C9-B8C6-457DD2156B94}"/>
    <hyperlink ref="J35" r:id="rId4" xr:uid="{971F36D1-90A6-429F-98FC-7A3C35D834B1}"/>
    <hyperlink ref="J106" r:id="rId5" xr:uid="{050B4E76-50CB-44B9-8CD0-E3E8A5FA7728}"/>
    <hyperlink ref="J65" r:id="rId6" xr:uid="{153A23DC-70DF-4E0B-A02A-8B27C97F3751}"/>
    <hyperlink ref="J22" r:id="rId7" xr:uid="{EA609B91-27E0-4CDC-86D1-CC3F1E52BA01}"/>
    <hyperlink ref="J90" r:id="rId8" xr:uid="{4909A3E5-836C-4138-902A-A1A222B843BC}"/>
    <hyperlink ref="J29" r:id="rId9" xr:uid="{B91BDEB0-7418-4587-BF1D-E810FE9D39E9}"/>
    <hyperlink ref="J122" r:id="rId10" xr:uid="{1739AB28-BBBE-4237-B6B6-7017AD6F5689}"/>
    <hyperlink ref="J102" r:id="rId11" xr:uid="{F7A93EB6-3224-4B16-8A42-E6DD1F5AB4C7}"/>
    <hyperlink ref="J23" r:id="rId12" xr:uid="{53BB0C52-BA0D-4737-8D66-133840216DD3}"/>
    <hyperlink ref="J20" r:id="rId13" xr:uid="{FFEE9C07-91AF-4219-A47E-9FCEFB8D3286}"/>
    <hyperlink ref="J130" r:id="rId14" xr:uid="{953B965A-F852-438C-8C43-E2413CBF6567}"/>
    <hyperlink ref="J110" r:id="rId15" xr:uid="{8394A2A7-CBE1-4B9D-9C87-EDFB9CD7D33D}"/>
    <hyperlink ref="J69" r:id="rId16" xr:uid="{E2FF607C-F725-44B9-9D01-2CF269904BCF}"/>
    <hyperlink ref="J53" r:id="rId17" xr:uid="{E0A2EB7A-1692-4FCE-BFCA-5FBEB4E24681}"/>
    <hyperlink ref="J146" r:id="rId18" xr:uid="{8AB05ACC-17AF-4105-B432-3524818C56C6}"/>
    <hyperlink ref="J13" r:id="rId19" xr:uid="{57373F0E-C9E7-456C-8025-755E512075A9}"/>
    <hyperlink ref="J101" r:id="rId20" xr:uid="{9517134D-FCBB-4E62-AF7C-070701B6A3F1}"/>
    <hyperlink ref="J45" r:id="rId21" xr:uid="{D51615FB-AC6D-4E92-8D48-BEF6ED8EC7DF}"/>
    <hyperlink ref="J142" r:id="rId22" xr:uid="{62FF2869-DF72-46D5-A364-284FC4F76347}"/>
    <hyperlink ref="J77" r:id="rId23" xr:uid="{352295A7-5CC9-425B-917B-B4534E2BB042}"/>
    <hyperlink ref="J14" r:id="rId24" xr:uid="{A0A389C0-08A3-4FFF-B697-D8E70D89DD41}"/>
    <hyperlink ref="J118" r:id="rId25" xr:uid="{EEA0D86D-825A-43D1-AF0F-404774AAD79B}"/>
    <hyperlink ref="J47" r:id="rId26" xr:uid="{3EEF76CA-F38E-44A4-B1AB-5D8681A1252F}"/>
    <hyperlink ref="J129" r:id="rId27" xr:uid="{D22B4C59-BCDA-4D0E-AD1C-12C3F9EF3C2D}"/>
    <hyperlink ref="J141" r:id="rId28" xr:uid="{BEF8E25A-B526-4783-9908-8B6A2987C05A}"/>
    <hyperlink ref="J99" r:id="rId29" xr:uid="{3A570C07-2F0D-4DEE-AB99-8459E7C0EE2E}"/>
    <hyperlink ref="J66" r:id="rId30" xr:uid="{A637B5C5-0286-4970-9B42-7842730234FF}"/>
    <hyperlink ref="J85" r:id="rId31" xr:uid="{C21B01EF-6601-4E2A-8685-2196BBB8150B}"/>
    <hyperlink ref="J100" r:id="rId32" xr:uid="{B39A9257-EA91-4329-BCBC-E584EA9D9B97}"/>
    <hyperlink ref="J50" r:id="rId33" xr:uid="{66C9CA72-FB26-443A-B981-FF95B6128913}"/>
    <hyperlink ref="J123" r:id="rId34" xr:uid="{895E5CAA-242A-4396-8B93-8E4412D838B9}"/>
    <hyperlink ref="J44" r:id="rId35" xr:uid="{DDD97BD7-F0DB-41FC-BB14-40685E2973BF}"/>
    <hyperlink ref="J115" r:id="rId36" xr:uid="{FEAD7EA9-77A7-4508-A79D-480EF8C02DB2}"/>
    <hyperlink ref="J117" r:id="rId37" xr:uid="{C54DBA5E-B33B-4DEE-9EAA-63CB330D46C6}"/>
    <hyperlink ref="J125" r:id="rId38" xr:uid="{60001871-DABD-4285-A083-47BE93080A43}"/>
    <hyperlink ref="J104" r:id="rId39" xr:uid="{409E145D-ACDA-4DBF-8225-6D3D877AF29A}"/>
    <hyperlink ref="J84" r:id="rId40" xr:uid="{43FAA560-0F39-459A-A707-D9AC961D8957}"/>
    <hyperlink ref="J137" r:id="rId41" xr:uid="{2A01FF0C-B5AA-47B4-9A30-DC151AB007F1}"/>
    <hyperlink ref="J26" r:id="rId42" xr:uid="{FEF3DC3A-1392-4FC5-971A-861F59BD4535}"/>
    <hyperlink ref="J18" r:id="rId43" xr:uid="{91D7E5C3-0B41-4FEE-BDC5-033BA1A202C5}"/>
    <hyperlink ref="J124" r:id="rId44" xr:uid="{C997B7F0-BFF3-4C0E-9581-56B4F9218B3D}"/>
    <hyperlink ref="J75" r:id="rId45" xr:uid="{E4D8744A-B612-4297-AB5C-848553333392}"/>
    <hyperlink ref="J38" r:id="rId46" xr:uid="{1CC15334-57EC-426F-9614-A499C14E0DAC}"/>
    <hyperlink ref="J49" r:id="rId47" xr:uid="{DB78ACDF-97E0-456A-BB35-4E0711B131D0}"/>
    <hyperlink ref="J73" r:id="rId48" xr:uid="{009F5AF6-A0F2-4E11-8476-1BAD353C19C3}"/>
    <hyperlink ref="J96" r:id="rId49" display="mailto:accounting@northcoastconcrete.com" xr:uid="{A14B94D9-B7AB-47C9-9291-CBCBE8873320}"/>
    <hyperlink ref="J40" r:id="rId50" xr:uid="{1EB52B55-3AA4-4953-93AB-D1AB76D42D85}"/>
    <hyperlink ref="J116" r:id="rId51" xr:uid="{62ED6DC7-3B0B-47C5-83CC-D1D8DFDF0140}"/>
    <hyperlink ref="J79" r:id="rId52" display="mailto:accounting@lakelandohio.com" xr:uid="{5430B2B6-06F7-43D1-AA76-C3368CB6B789}"/>
    <hyperlink ref="J108" r:id="rId53" display="mailto:ap@platformcontracting.com" xr:uid="{AD8A0389-B916-44B3-9C2B-3B7F16537C98}"/>
    <hyperlink ref="J135" r:id="rId54" xr:uid="{6C2C3562-BE44-431A-84C9-25C1FC12510C}"/>
    <hyperlink ref="J74" r:id="rId55" xr:uid="{96179ADF-3C99-4FD9-AA55-16062D5E4E4D}"/>
    <hyperlink ref="J64" r:id="rId56" xr:uid="{19544BEA-448B-45C2-BC12-AADCD1890631}"/>
    <hyperlink ref="J97" r:id="rId57" xr:uid="{BF787218-1969-4388-BB78-D4F5006962A4}"/>
    <hyperlink ref="J89" r:id="rId58" xr:uid="{4C9387B2-8572-49EA-BDE1-D5587B4570A6}"/>
    <hyperlink ref="J127" r:id="rId59" xr:uid="{96DDCA74-D33C-45B7-AAFC-A887D9914146}"/>
    <hyperlink ref="J93" r:id="rId60" xr:uid="{F0FA8F9B-776A-4ECB-A83A-C794771A2432}"/>
    <hyperlink ref="J140" r:id="rId61" xr:uid="{3CB1F381-23CD-4E63-B7CB-2437E2BB9A38}"/>
    <hyperlink ref="J88" r:id="rId62" xr:uid="{A98373F3-14F3-4B8B-942B-6F42D9D2C811}"/>
  </hyperlinks>
  <pageMargins left="0.7" right="0.7" top="0.75" bottom="0.75" header="0.3" footer="0.3"/>
  <tableParts count="1">
    <tablePart r:id="rId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Trucks</vt:lpstr>
      <vt:lpstr>Material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Woods</dc:creator>
  <cp:lastModifiedBy>Pranava Stanam</cp:lastModifiedBy>
  <dcterms:created xsi:type="dcterms:W3CDTF">2026-02-23T19:55:36Z</dcterms:created>
  <dcterms:modified xsi:type="dcterms:W3CDTF">2026-03-05T15:32:56Z</dcterms:modified>
</cp:coreProperties>
</file>